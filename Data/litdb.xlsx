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116828\OneDrive - RMIT University\"/>
    </mc:Choice>
  </mc:AlternateContent>
  <xr:revisionPtr revIDLastSave="0" documentId="13_ncr:1_{7285D82C-2017-43E2-AFC9-EBE82B9E6F70}" xr6:coauthVersionLast="47" xr6:coauthVersionMax="47" xr10:uidLastSave="{00000000-0000-0000-0000-000000000000}"/>
  <bookViews>
    <workbookView xWindow="0" yWindow="12" windowWidth="23040" windowHeight="12348" xr2:uid="{49DF10D5-5009-4926-90A4-5860CEF4BF71}"/>
  </bookViews>
  <sheets>
    <sheet name="Sheet1" sheetId="1" r:id="rId1"/>
  </sheets>
  <definedNames>
    <definedName name="btblfn2" localSheetId="0">Sheet1!$K$49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0" i="1" l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3" i="1"/>
  <c r="M4" i="1"/>
  <c r="M6" i="1"/>
  <c r="M9" i="1"/>
  <c r="M12" i="1"/>
  <c r="M15" i="1"/>
  <c r="M17" i="1"/>
  <c r="M20" i="1"/>
  <c r="M22" i="1"/>
  <c r="M23" i="1"/>
  <c r="M24" i="1"/>
  <c r="M25" i="1"/>
  <c r="M28" i="1"/>
  <c r="M33" i="1"/>
  <c r="M36" i="1"/>
  <c r="M41" i="1"/>
  <c r="M44" i="1"/>
  <c r="M46" i="1"/>
  <c r="M47" i="1"/>
  <c r="M48" i="1"/>
  <c r="M49" i="1"/>
  <c r="M52" i="1"/>
  <c r="M57" i="1"/>
  <c r="M60" i="1"/>
  <c r="M65" i="1"/>
  <c r="M68" i="1"/>
  <c r="M70" i="1"/>
  <c r="M71" i="1"/>
  <c r="M72" i="1"/>
  <c r="M73" i="1"/>
  <c r="M76" i="1"/>
  <c r="M81" i="1"/>
  <c r="M84" i="1"/>
  <c r="M89" i="1"/>
  <c r="M92" i="1"/>
  <c r="M94" i="1"/>
  <c r="M95" i="1"/>
  <c r="M96" i="1"/>
  <c r="M97" i="1"/>
  <c r="M100" i="1"/>
  <c r="M105" i="1"/>
  <c r="M108" i="1"/>
  <c r="M113" i="1"/>
  <c r="M116" i="1"/>
  <c r="M118" i="1"/>
  <c r="M119" i="1"/>
  <c r="M120" i="1"/>
  <c r="M121" i="1"/>
  <c r="M124" i="1"/>
  <c r="M129" i="1"/>
  <c r="M132" i="1"/>
  <c r="M137" i="1"/>
  <c r="M140" i="1"/>
  <c r="M142" i="1"/>
  <c r="M143" i="1"/>
  <c r="M144" i="1"/>
  <c r="M145" i="1"/>
  <c r="M148" i="1"/>
  <c r="M153" i="1"/>
  <c r="M156" i="1"/>
  <c r="M161" i="1"/>
  <c r="M164" i="1"/>
  <c r="M166" i="1"/>
  <c r="M167" i="1"/>
  <c r="M168" i="1"/>
  <c r="M169" i="1"/>
  <c r="M172" i="1"/>
  <c r="M177" i="1"/>
  <c r="L3" i="1"/>
  <c r="L4" i="1"/>
  <c r="L5" i="1"/>
  <c r="M5" i="1" s="1"/>
  <c r="L6" i="1"/>
  <c r="L7" i="1"/>
  <c r="M7" i="1" s="1"/>
  <c r="L8" i="1"/>
  <c r="M8" i="1" s="1"/>
  <c r="L9" i="1"/>
  <c r="L10" i="1"/>
  <c r="M10" i="1" s="1"/>
  <c r="L11" i="1"/>
  <c r="M11" i="1" s="1"/>
  <c r="L12" i="1"/>
  <c r="L13" i="1"/>
  <c r="M13" i="1" s="1"/>
  <c r="L14" i="1"/>
  <c r="M14" i="1" s="1"/>
  <c r="L15" i="1"/>
  <c r="L16" i="1"/>
  <c r="M16" i="1" s="1"/>
  <c r="L17" i="1"/>
  <c r="L18" i="1"/>
  <c r="M18" i="1" s="1"/>
  <c r="L19" i="1"/>
  <c r="M19" i="1" s="1"/>
  <c r="L20" i="1"/>
  <c r="L21" i="1"/>
  <c r="M21" i="1" s="1"/>
  <c r="L22" i="1"/>
  <c r="L23" i="1"/>
  <c r="L24" i="1"/>
  <c r="L25" i="1"/>
  <c r="L26" i="1"/>
  <c r="M26" i="1" s="1"/>
  <c r="L27" i="1"/>
  <c r="M27" i="1" s="1"/>
  <c r="L28" i="1"/>
  <c r="L29" i="1"/>
  <c r="M29" i="1" s="1"/>
  <c r="L30" i="1"/>
  <c r="M30" i="1" s="1"/>
  <c r="L31" i="1"/>
  <c r="M31" i="1" s="1"/>
  <c r="L32" i="1"/>
  <c r="M32" i="1" s="1"/>
  <c r="L33" i="1"/>
  <c r="L34" i="1"/>
  <c r="M34" i="1" s="1"/>
  <c r="L35" i="1"/>
  <c r="M35" i="1" s="1"/>
  <c r="L36" i="1"/>
  <c r="L37" i="1"/>
  <c r="M37" i="1" s="1"/>
  <c r="L38" i="1"/>
  <c r="M38" i="1" s="1"/>
  <c r="L39" i="1"/>
  <c r="M39" i="1" s="1"/>
  <c r="L40" i="1"/>
  <c r="M40" i="1" s="1"/>
  <c r="L41" i="1"/>
  <c r="L42" i="1"/>
  <c r="M42" i="1" s="1"/>
  <c r="L43" i="1"/>
  <c r="M43" i="1" s="1"/>
  <c r="L44" i="1"/>
  <c r="L45" i="1"/>
  <c r="M45" i="1" s="1"/>
  <c r="L46" i="1"/>
  <c r="L47" i="1"/>
  <c r="L48" i="1"/>
  <c r="L49" i="1"/>
  <c r="L50" i="1"/>
  <c r="M50" i="1" s="1"/>
  <c r="L51" i="1"/>
  <c r="M51" i="1" s="1"/>
  <c r="L52" i="1"/>
  <c r="L53" i="1"/>
  <c r="M53" i="1" s="1"/>
  <c r="L54" i="1"/>
  <c r="M54" i="1" s="1"/>
  <c r="L55" i="1"/>
  <c r="M55" i="1" s="1"/>
  <c r="L56" i="1"/>
  <c r="M56" i="1" s="1"/>
  <c r="L57" i="1"/>
  <c r="L58" i="1"/>
  <c r="M58" i="1" s="1"/>
  <c r="L59" i="1"/>
  <c r="M59" i="1" s="1"/>
  <c r="L60" i="1"/>
  <c r="L61" i="1"/>
  <c r="M61" i="1" s="1"/>
  <c r="L62" i="1"/>
  <c r="M62" i="1" s="1"/>
  <c r="L63" i="1"/>
  <c r="M63" i="1" s="1"/>
  <c r="L64" i="1"/>
  <c r="M64" i="1" s="1"/>
  <c r="L65" i="1"/>
  <c r="L66" i="1"/>
  <c r="M66" i="1" s="1"/>
  <c r="L67" i="1"/>
  <c r="M67" i="1" s="1"/>
  <c r="L68" i="1"/>
  <c r="L69" i="1"/>
  <c r="M69" i="1" s="1"/>
  <c r="L70" i="1"/>
  <c r="L71" i="1"/>
  <c r="L72" i="1"/>
  <c r="L73" i="1"/>
  <c r="L74" i="1"/>
  <c r="M74" i="1" s="1"/>
  <c r="L75" i="1"/>
  <c r="M75" i="1" s="1"/>
  <c r="L76" i="1"/>
  <c r="L77" i="1"/>
  <c r="M77" i="1" s="1"/>
  <c r="L78" i="1"/>
  <c r="M78" i="1" s="1"/>
  <c r="L79" i="1"/>
  <c r="M79" i="1" s="1"/>
  <c r="L80" i="1"/>
  <c r="M80" i="1" s="1"/>
  <c r="L81" i="1"/>
  <c r="L82" i="1"/>
  <c r="M82" i="1" s="1"/>
  <c r="L83" i="1"/>
  <c r="M83" i="1" s="1"/>
  <c r="L84" i="1"/>
  <c r="L85" i="1"/>
  <c r="M85" i="1" s="1"/>
  <c r="L86" i="1"/>
  <c r="M86" i="1" s="1"/>
  <c r="L87" i="1"/>
  <c r="M87" i="1" s="1"/>
  <c r="L88" i="1"/>
  <c r="M88" i="1" s="1"/>
  <c r="L89" i="1"/>
  <c r="L90" i="1"/>
  <c r="M90" i="1" s="1"/>
  <c r="L91" i="1"/>
  <c r="M91" i="1" s="1"/>
  <c r="L92" i="1"/>
  <c r="L93" i="1"/>
  <c r="M93" i="1" s="1"/>
  <c r="L94" i="1"/>
  <c r="L95" i="1"/>
  <c r="L96" i="1"/>
  <c r="L97" i="1"/>
  <c r="L98" i="1"/>
  <c r="M98" i="1" s="1"/>
  <c r="L99" i="1"/>
  <c r="M99" i="1" s="1"/>
  <c r="L100" i="1"/>
  <c r="L101" i="1"/>
  <c r="M101" i="1" s="1"/>
  <c r="L102" i="1"/>
  <c r="M102" i="1" s="1"/>
  <c r="L103" i="1"/>
  <c r="M103" i="1" s="1"/>
  <c r="L104" i="1"/>
  <c r="M104" i="1" s="1"/>
  <c r="L105" i="1"/>
  <c r="L106" i="1"/>
  <c r="M106" i="1" s="1"/>
  <c r="L107" i="1"/>
  <c r="M107" i="1" s="1"/>
  <c r="L108" i="1"/>
  <c r="L109" i="1"/>
  <c r="M109" i="1" s="1"/>
  <c r="L110" i="1"/>
  <c r="M110" i="1" s="1"/>
  <c r="L111" i="1"/>
  <c r="M111" i="1" s="1"/>
  <c r="L112" i="1"/>
  <c r="M112" i="1" s="1"/>
  <c r="L113" i="1"/>
  <c r="L114" i="1"/>
  <c r="M114" i="1" s="1"/>
  <c r="L115" i="1"/>
  <c r="M115" i="1" s="1"/>
  <c r="L116" i="1"/>
  <c r="L117" i="1"/>
  <c r="M117" i="1" s="1"/>
  <c r="L118" i="1"/>
  <c r="L119" i="1"/>
  <c r="L120" i="1"/>
  <c r="L121" i="1"/>
  <c r="L122" i="1"/>
  <c r="M122" i="1" s="1"/>
  <c r="L123" i="1"/>
  <c r="M123" i="1" s="1"/>
  <c r="L124" i="1"/>
  <c r="L125" i="1"/>
  <c r="M125" i="1" s="1"/>
  <c r="L126" i="1"/>
  <c r="M126" i="1" s="1"/>
  <c r="L127" i="1"/>
  <c r="M127" i="1" s="1"/>
  <c r="L128" i="1"/>
  <c r="M128" i="1" s="1"/>
  <c r="L129" i="1"/>
  <c r="L130" i="1"/>
  <c r="M130" i="1" s="1"/>
  <c r="L131" i="1"/>
  <c r="M131" i="1" s="1"/>
  <c r="L132" i="1"/>
  <c r="L133" i="1"/>
  <c r="M133" i="1" s="1"/>
  <c r="L134" i="1"/>
  <c r="M134" i="1" s="1"/>
  <c r="L135" i="1"/>
  <c r="M135" i="1" s="1"/>
  <c r="L136" i="1"/>
  <c r="M136" i="1" s="1"/>
  <c r="L137" i="1"/>
  <c r="L138" i="1"/>
  <c r="M138" i="1" s="1"/>
  <c r="L139" i="1"/>
  <c r="M139" i="1" s="1"/>
  <c r="L140" i="1"/>
  <c r="L141" i="1"/>
  <c r="M141" i="1" s="1"/>
  <c r="L142" i="1"/>
  <c r="L143" i="1"/>
  <c r="L144" i="1"/>
  <c r="L145" i="1"/>
  <c r="L146" i="1"/>
  <c r="M146" i="1" s="1"/>
  <c r="L147" i="1"/>
  <c r="M147" i="1" s="1"/>
  <c r="L148" i="1"/>
  <c r="L149" i="1"/>
  <c r="M149" i="1" s="1"/>
  <c r="L150" i="1"/>
  <c r="M150" i="1" s="1"/>
  <c r="L151" i="1"/>
  <c r="M151" i="1" s="1"/>
  <c r="L152" i="1"/>
  <c r="M152" i="1" s="1"/>
  <c r="L153" i="1"/>
  <c r="L154" i="1"/>
  <c r="M154" i="1" s="1"/>
  <c r="L155" i="1"/>
  <c r="M155" i="1" s="1"/>
  <c r="L156" i="1"/>
  <c r="L157" i="1"/>
  <c r="M157" i="1" s="1"/>
  <c r="L158" i="1"/>
  <c r="M158" i="1" s="1"/>
  <c r="L159" i="1"/>
  <c r="M159" i="1" s="1"/>
  <c r="L160" i="1"/>
  <c r="M160" i="1" s="1"/>
  <c r="L161" i="1"/>
  <c r="L162" i="1"/>
  <c r="M162" i="1" s="1"/>
  <c r="L163" i="1"/>
  <c r="M163" i="1" s="1"/>
  <c r="L164" i="1"/>
  <c r="L165" i="1"/>
  <c r="M165" i="1" s="1"/>
  <c r="L166" i="1"/>
  <c r="L167" i="1"/>
  <c r="L168" i="1"/>
  <c r="L169" i="1"/>
  <c r="L170" i="1"/>
  <c r="M170" i="1" s="1"/>
  <c r="L171" i="1"/>
  <c r="M171" i="1" s="1"/>
  <c r="L172" i="1"/>
  <c r="L173" i="1"/>
  <c r="M173" i="1" s="1"/>
  <c r="L174" i="1"/>
  <c r="M174" i="1" s="1"/>
  <c r="L175" i="1"/>
  <c r="M175" i="1" s="1"/>
  <c r="L176" i="1"/>
  <c r="M176" i="1" s="1"/>
  <c r="L177" i="1"/>
  <c r="L178" i="1"/>
  <c r="M178" i="1" s="1"/>
  <c r="L179" i="1"/>
  <c r="M179" i="1" s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" i="1"/>
  <c r="M2" i="1" s="1"/>
</calcChain>
</file>

<file path=xl/sharedStrings.xml><?xml version="1.0" encoding="utf-8"?>
<sst xmlns="http://schemas.openxmlformats.org/spreadsheetml/2006/main" count="1996" uniqueCount="655">
  <si>
    <t>pH</t>
  </si>
  <si>
    <t>Cu</t>
  </si>
  <si>
    <t>media</t>
  </si>
  <si>
    <t>media_conc</t>
  </si>
  <si>
    <t>conc</t>
  </si>
  <si>
    <t>IE</t>
  </si>
  <si>
    <t>Temp</t>
  </si>
  <si>
    <t>name</t>
  </si>
  <si>
    <t>subcluster</t>
  </si>
  <si>
    <t>O=[N+](NC1=NCCN1CC2=CN=C(Cl)S2)[O-]</t>
  </si>
  <si>
    <t>smiles</t>
  </si>
  <si>
    <t>1-[(2-Chloro-5-thiazolyl)-methyl]− 4,5-dihydro-N-nitro-1H-imidazol-2-amine</t>
  </si>
  <si>
    <t xml:space="preserve">imidazole </t>
  </si>
  <si>
    <t>nacl</t>
  </si>
  <si>
    <t>immersion_time</t>
  </si>
  <si>
    <t>neutral</t>
  </si>
  <si>
    <t>293 K</t>
  </si>
  <si>
    <t>2 mM</t>
  </si>
  <si>
    <t>https://www.sciencedirect.com/science/article/pii/S0927775721019270#tbl0005</t>
  </si>
  <si>
    <t>link</t>
  </si>
  <si>
    <t>4-amino-5-methyl-4H-1,2,4-triazole-3-thiol</t>
  </si>
  <si>
    <t>SC1=NN=C(C)N1N</t>
  </si>
  <si>
    <t>triazole</t>
  </si>
  <si>
    <t>0.5 mM</t>
  </si>
  <si>
    <t>298 K</t>
  </si>
  <si>
    <t>1.5 mM</t>
  </si>
  <si>
    <t>https://pdf.sciencedirectassets.com/271359/1-s2.0-S0167732219X00136/1-s2.0-S0167732219317726/main.pdf?X-Amz-Security-Token=IQoJb3JpZ2luX2VjECIaCXVzLWVhc3QtMSJIMEYCIQClZ1Cu9M8lMsF0u6ET5dIki81fYIHLcZpzPnpbZ4bGYAIhAMclvdx6gDEiQR1tf%2FXgGlYzz2sIoK5lltTRY3bMQ4CZKrMFCDsQBRoMMDU5MDAzNTQ2ODY1Igwylbd8K1sRVrSD%2FRcqkAWkdpOZ9nzS8nwHLUXH8seua%2FbcnPReXXBhmg8N4Vbcw5KRLtTy%2BoDECPSew%2FJ4%2B%2FC%2FMCX7A7%2BYw8PfBNjrrv3Cp4LHXTQqRWJXt%2FPPwosPh9U%2BK%2Fi14jYZzYlBRuyg%2B7LiiFFGeIDsEJ2z8m9ERqObqB6%2Fy8t877Jbd%2B6mlKFAZECU1m%2F3Zaw%2FOhvx5Y3TmnKsawU4XDxZSnimV3XtpndHiLg9e6dIE9yqV6iVaRMQpDoNQ%2BSo%2B2PDd1bCfBfG7aNYLPI7d0b176pj6Vi5lbL0GYyQ%2FDdpYFRWsA7g3qtGrqKGcjIGxEvJIPl1SctVp%2BNpmmlo3NrFfU66HCYZ4GR5Ke8Z81gFN%2Fp7caG99CIdm8biZe66O6Ps%2B1zb937CaBO9CM7U4CK1PAxUuzeG8KMbpIktLjb5pLItoMhzgAY5jzDgFohZYf4Qz56jh815ynaaS0qzWyt5G%2F7VGRuRdbgtbQCyqtdt28k%2F5bP%2F40POwSn5AE57qG2bgj8pl09UDwHeJDcWMApy6V0SL1f9x83zG3f3d5lBPne%2FHd6NZCTVgVTD3DfU6VPhf1m4bEvnh3bTU0ZQpErFEC1lfqcAQVtCxwHr4ZAMdIMADEec7ulZ%2B1KXuDvHi0yX2kCgKSsxB3lfRnCSa5XZ%2Fn7gUULBMpIY6AQe5qEULntU3eToaYW2MqrGeInxqhP9WzmhwM25VR79hmGZeNA%2BZ5IjcTQHa%2B2%2F7B8Bd9SgRYDQROn9wnBayIBp2U%2FkcE5UwbdNEths0ME9aoMQz1UX2fGNlxoZINS2Qwf73nXeN8v81pJZdDJZs4oQNZ69zkzahxTFHTbd1R0PH9iH3QuZk9CEnPhby8%2FIHE7%2BQjIekEhsJBdNnm8NtjCGob%2B2BjqwAQ1bmCW%2FtviREayPWyYOQxzS7svXK8hZWPtAoOIRXxKKQdTRV1c2AvH9Mv%2Fh3oBjNBJiOFTixRhcg3cS8hHqMHVgSq9SzM%2Fo9xNo7RKBtvpqvYdbrxwLAah0o2x6XYgSZOzF3NkW7d2UK0wJeks78LyR2dwPCBRfjHU6ykOCZyr7BytmRJ%2BhXJuEa7bsEYxsIAqgn2QIT3gYChvxLkFuR4idiIuHbw%2B9hPwvHHgfxyug&amp;X-Amz-Algorithm=AWS4-HMAC-SHA256&amp;X-Amz-Date=20240829T024331Z&amp;X-Amz-SignedHeaders=host&amp;X-Amz-Expires=300&amp;X-Amz-Credential=ASIAQ3PHCVTY3YB7MJRH%2F20240829%2Fus-east-1%2Fs3%2Faws4_request&amp;X-Amz-Signature=55a0023375379ba86433c8d6b73eeea1447858fbfa5f48014f0aea150200908d&amp;hash=a8e69774f5a1da4cbe4112734e5cec7dcbf0a90d5eabddcc038ac09a7a4a0833&amp;host=68042c943591013ac2b2430a89b270f6af2c76d8dfd086a07176afe7c76c2c61&amp;pii=S0167732219317726&amp;tid=spdf-0eeeba5a-fc25-4471-a0e1-334d9cf09bd5&amp;sid=a578a3ec25bc214e6a4bb701054ec98db058gxrqa&amp;type=client&amp;tsoh=d3d3LnNjaWVuY2VkaXJlY3QuY29t&amp;ua=01105b06035c535703&amp;rr=8ba931a9db331f66&amp;cc=au</t>
  </si>
  <si>
    <t>3-Amino-1,2,4-triazole</t>
  </si>
  <si>
    <t>NC1=NNC=N1</t>
  </si>
  <si>
    <t>https://www.sciencedirect.com/science/article/pii/S0021979707000227</t>
  </si>
  <si>
    <t>rt</t>
  </si>
  <si>
    <t>1 mM</t>
  </si>
  <si>
    <t>SC1=NC(N)=NN1</t>
  </si>
  <si>
    <t>3-Amino-5-mercapto-1,2,4-triazole</t>
  </si>
  <si>
    <t>https://www.sciencedirect.com/science/article/pii/S0013468605003403</t>
  </si>
  <si>
    <t>3-amino 5-methylthio 1,2,4 triazole </t>
  </si>
  <si>
    <t>CSC1=NC(N)=NN1</t>
  </si>
  <si>
    <t>0.3 mM</t>
  </si>
  <si>
    <t>na</t>
  </si>
  <si>
    <t>5-(Phenyl)-4H-1,2,4-triazole-3-thiol</t>
  </si>
  <si>
    <t>SC1=NN=C(C2=CC=CC=C2)N1</t>
  </si>
  <si>
    <t>https://www.sciencedirect.com/science/article/pii/S0254058406003208</t>
  </si>
  <si>
    <t>SC1=NN=C(C2=CC=NC=C2)O1</t>
  </si>
  <si>
    <t>5-(4-pyridyl)-1,3,4-oxadiazole-2-thiol</t>
  </si>
  <si>
    <t xml:space="preserve">oxadiazole </t>
  </si>
  <si>
    <t>298K</t>
  </si>
  <si>
    <t>https://www.sciencedirect.com/science/article/pii/S0013468621015723?via%3Dihub#tbl0001</t>
  </si>
  <si>
    <t>4-methyl-5-vinylthiazole</t>
  </si>
  <si>
    <t>C=CC1=C(C)N=CS1</t>
  </si>
  <si>
    <t>thiazole</t>
  </si>
  <si>
    <t>https://www.sciencedirect.com/science/article/pii/S0021979717307427?via%3Dihub#f0005</t>
  </si>
  <si>
    <t>125 mg/L</t>
  </si>
  <si>
    <t>CC1=C(CCO)SC=N1</t>
  </si>
  <si>
    <t>NC1=NC=CS1</t>
  </si>
  <si>
    <t>5-(2-hydroxyethyl)-4-methylthiazole</t>
  </si>
  <si>
    <t>SC1=NN=CN1N</t>
  </si>
  <si>
    <t>https://pdf.sciencedirectassets.com/272564/1-s2.0-S0021979716X00070/1-s2.0-S0021979716301655/main.pdf?X-Amz-Security-Token=IQoJb3JpZ2luX2VjECMaCXVzLWVhc3QtMSJHMEUCIQCG9DoOvp8nRSZRqr070a11AsK9oeXuVwYH2GiOXTDTpQIgFDRChcHIVAuG2zG8yaXPq36qTsokEPPKAq0hRKBQORMqsgUIPBAFGgwwNTkwMDM1NDY4NjUiDAnH9YO59dPN8iUQsyqPBb9TZXGFkpP1t2OqwWkCV%2Bu3bb3JzKIyzTs6vEeRR8IRkQCKYlUVUPu%2B634LF6BJ1qvwUWER31gpmZM1u6PVgAoZHz70sgNXZMdZuZoQZIhU4lzMflJwQoRkI8Uk3XWFhywYfeHt2Jvq4jQr2%2B64URuJ8QOBhkZbPj6tfS6mSxU2r4XWD46FJ81h5zOy2Vg1m%2BNAtNATyufrnkbSzev%2BgUeAH4Twd2%2BeUVFQmJV7INFqiLg1ccJDtgV1jZR4d4Xi%2Fy2klz1%2FPGVcdOtprcBuVP9QUJOayX%2Bgwpxmcc2ysnfeykRr%2BUQyQFc8Tf3hfHcjzIPE2gco0ekuPMkMC7CK%2BNuXosS%2Bj9GYdOOJZvsbQN5LZhULVUO2An9g3eirIieXZ8TzfO5A%2Bp%2BkVHZMalzaQnHIrN4fYt18eOL65TknNunG8GDz4X%2FTU2HZWbGQa4G6sDgpe81MXeJcd%2BPPqJ%2BegqCcd%2FnFpWEN94WSo0BJoYw9iuC18ZT0m%2BDjyMJPjGy%2F7iV89k%2BYeQFuYdaaxq9Cbjdl2sPvwkawvwT3QCLIMLkk4HLKCgfNc7DA51Vx4ziuMDd8yjd2QqYOdG0XHpCSLhJVI%2BiXsOOlEKmUNVf%2Bx6ZTV40TF5ULCgU7MZLPTKr%2Fows87lofkTdhlZzI7PfdxOOqatwEYp0FIrprwNk6vaGtRSEVAPLjmQwOgoF%2Be%2BV7oSHc8pwhd0gBusKbDFIK3Av1NSUu4ihjzJ4830TzLQleKAS7EmNlHs6%2BLRJrkyHwgy2S2FfYvkMTBsUxBVJxceuKpcxxakXPeim80%2Bj1nhwpYjhiXlJQJTgZhSzO%2BKBqFquBFkuuaiyQmSH5mKjFUfrNj8n3gN78nqHWXWna1jUwisq%2FtgY6sQH%2FetwZdA8CJPfSPLYDLaLEdSsDpjLl%2Fk%2F%2FMjXRFi7%2FoIJm4pwuXQhhZ4r%2Fqe%2B3J0bpKR69qRi3em34QPJvs%2FHcdDpKvXgMLJw%2F%2BKfEPoKFngtDhbE%2FWM1HZlyWLmeMoKiGxIr%2Fet68YW%2BczOO37Ic7LB5P6NlMVMz7UgvPPfecQf8UvKK2hUO8YSJnLA30T3C0nNhPe6Al5NwTHmQ6CkJW5GPR2rkrgICaqlLKIEALWXE%3D&amp;X-Amz-Algorithm=AWS4-HMAC-SHA256&amp;X-Amz-Date=20240829T033150Z&amp;X-Amz-SignedHeaders=host&amp;X-Amz-Expires=300&amp;X-Amz-Credential=ASIAQ3PHCVTY42KB7EVX%2F20240829%2Fus-east-1%2Fs3%2Faws4_request&amp;X-Amz-Signature=6117b9b7e6db36490c542db813258115ddc99f211beacf9c3b1a4f54294664b8&amp;hash=6242726ee596c6946eb6220f8620adcc5b1c34bc5f7513cf29d4f165cd4ef831&amp;host=68042c943591013ac2b2430a89b270f6af2c76d8dfd086a07176afe7c76c2c61&amp;pii=S0021979716301655&amp;tid=spdf-7f18d4b9-fc5e-490a-a4a4-a598e687f0df&amp;sid=a578a3ec25bc214e6a4bb701054ec98db058gxrqa&amp;type=client&amp;tsoh=d3d3LnNjaWVuY2VkaXJlY3QuY29t&amp;ua=01105b06035c575e54&amp;rr=8ba9786f5bcc2b31&amp;cc=au</t>
  </si>
  <si>
    <t>C12=C(NN=C2)C=CC=C1</t>
  </si>
  <si>
    <t>indazole</t>
  </si>
  <si>
    <t>NC1=CC2=C(NN=C2)C=C1</t>
  </si>
  <si>
    <t xml:space="preserve"> 5-aminoindazole</t>
  </si>
  <si>
    <t>0.8 mM</t>
  </si>
  <si>
    <t>https://pdf.sciencedirectassets.com/271639/1-s2.0-S0010938X15X00084/1-s2.0-S0010938X15002000/main.pdf?X-Amz-Security-Token=IQoJb3JpZ2luX2VjECMaCXVzLWVhc3QtMSJIMEYCIQC4obZFySyXsnRfKEUMvn6XTnJegWvDaeUBFOgRBENddAIhAOlL4z7cvqqSR5S3TkneeTvXTqQU5njfj36PCHSua8J4KrMFCDwQBRoMMDU5MDAzNTQ2ODY1IgxCSS9heQ2O6EzKyH0qkAV%2BFjYhxpQoDNxaG864j5P5MRUB4WzMT0apoMhE9j7TdwIwvnlbv4MQ77QTuOkkmEJSPlDJG4OWDMXJURdTQnscVLClYJNXUdOpFx2%2FZtuMd%2B0%2FTxRA7LyuqWGOg1V0fLgze7Z8AtvaX7srSiLAXsqGY979zoUGIjCK9PrR4wDWWc5G%2BKfHuv0t7tkB4CNZEcgyh%2Bg6VPeKjTPzgy2F%2Bf0MqRbpc%2B%2BUXauHdCRKDCQbjCoBgklXs1b5hECE1yaYI4sy4kTFvQ7mVK4Cal0FJ4NRncMIOOEfYbaxljxlX4vFLVS0RhtH29v4SEV3AolCJlesSw%2F4Yb2axGxsJUGafDHg5jizCJ%2FELDJDMQMw8EhhGQxaTLf3k%2Bw4S%2BG2xVsyazcvi%2F%2Bg%2Bb6vevur%2FVZmZTK7Ktx7FviTpNSog1EkO9WgSSQ9zU1py6hi3PgV5jnlz1McrHk5UZreUKg6YV4%2FSoKf3slUL88luVxW7p0FVG%2B4o7it7mllWaHRt4ZFjO%2F5Tqyz3N63yNXyZbOw%2FdTHdKeNqZi2CTabhsKnpzYSXn6CFG8nsgFiwe4HnJlPkiQUOGtDCkwjNKjRWsv0q4%2B116%2Bn5Xp%2Fn4jF1YIaY51nXXG1Q13EYMT6ApJJRaAIDANzihn92%2B2TaXtu4bAbYuxw2Qxhcw%2FDJkEKb2eXTkGI7mH3ZnrIxsFkN1fR9%2BqqA6CIQU2FBL8wKofS0JLfHxw%2F2wt6tyMaM3ofRR%2BJ2H4yRlraLPfb2QTygLCxVeKj3KBHhhNO2GFRuAI0s5W5N1L59yLf3WOs85ONc9tJqBb9vUNYFEzYOGEQ353aEK3QF6T4PiGZQ6zn0Lurmhd9ZX7biObNsjbbh%2F7j3FiY3csNS5pzADDsvr%2B2BjqwAQ%2Br%2B3zYqP8IpNGHgSUBcc5TnHsUECJeTheKVBRVTUb3b5nxg%2B7O%2BTmjI%2Fe%2FB4%2Bijd8UubXFxhgd403uUbKzJEwaJvJS8X8Q8wSiCQ2cEDjvwCj9KKQowUq2O84v6xDDICFgsbagcYSHczXyiFDh2DBs%2B3ThxUAOqW0D4oP0IFzHuu028OXl%2BYEjoNmh9bplEI%2FqkCk8Yp2Jx7ecf5VhkGUzqjlpoIFG0Ht7WGpoThpL&amp;X-Amz-Algorithm=AWS4-HMAC-SHA256&amp;X-Amz-Date=20240829T033636Z&amp;X-Amz-SignedHeaders=host&amp;X-Amz-Expires=300&amp;X-Amz-Credential=ASIAQ3PHCVTYZXXYCNH4%2F20240829%2Fus-east-1%2Fs3%2Faws4_request&amp;X-Amz-Signature=4b8b1e08fd489e252ab0fabd6f597a815c1218343e62008a4e8a469634d24a04&amp;hash=21cbd7bc024dc481dfb1eef7f42fdfb7e4611806c3ece112df9d953a7710f647&amp;host=68042c943591013ac2b2430a89b270f6af2c76d8dfd086a07176afe7c76c2c61&amp;pii=S0010938X15002000&amp;tid=spdf-2fda0153-ff2d-4df0-8a06-7160ad32cec6&amp;sid=a578a3ec25bc214e6a4bb701054ec98db058gxrqa&amp;type=client&amp;tsoh=d3d3LnNjaWVuY2VkaXJlY3QuY29t&amp;ua=01105b06035c570054&amp;rr=8ba97f6c2da82b31&amp;cc=au</t>
  </si>
  <si>
    <t>imidazole</t>
  </si>
  <si>
    <t>C1=NC=CN1</t>
  </si>
  <si>
    <t>1-methyl-imidazole</t>
  </si>
  <si>
    <t>CN1C=CN=C1</t>
  </si>
  <si>
    <t>CN1C=CN=C1S</t>
  </si>
  <si>
    <t>2-mercapto-1-methylimidazole</t>
  </si>
  <si>
    <t>benzimidazole</t>
  </si>
  <si>
    <t>C12=CC=CC=C1NC=N2</t>
  </si>
  <si>
    <t>SC1=NC2=CC=CC=C2N1</t>
  </si>
  <si>
    <t>5 mM</t>
  </si>
  <si>
    <t>2-aminobenzothiazole</t>
  </si>
  <si>
    <t>2- amino-6-bromobenzothiazole</t>
  </si>
  <si>
    <t>NC1=NC2=CC=CC=C2S1</t>
  </si>
  <si>
    <t>BrC1=CC=C2N=C(N)SC2=C1</t>
  </si>
  <si>
    <t>aminobenzothiazole</t>
  </si>
  <si>
    <t>near neutral</t>
  </si>
  <si>
    <t>0.4 mM</t>
  </si>
  <si>
    <t>0.2 mM</t>
  </si>
  <si>
    <t>https://pdf.sciencedirectassets.com/783334/1-s2.0-S1452398116X14009/1-s2.0-S1452398123161712/main.pdf?X-Amz-Security-Token=IQoJb3JpZ2luX2VjECQaCXVzLWVhc3QtMSJGMEQCIBUCXrc6bcAaDyo7duP9HMnYw8Y8SeblgEqVOjFEkQwuAiB7RpJQpAtTBmFin0vzVkRAnpT18APizANkjgqq5jfh%2FCqyBQg8EAUaDDA1OTAwMzU0Njg2NSIMoGE%2BK%2Bhg0CVEnFDoKo8FpCO7X5JzCSWVs37JTzZtbOvTRjDvICl6XpDL%2FnibeY8Y0CkZVNwQ%2FEV4rZN%2BC%2F0q0I3%2FujI2UVQVOI3r8GMBBY7ca%2Fw4xDn4cTotf41XUYMS6zNEyZi%2FyuWQVjilE8SzFoF8SajB4v3xkh60MnAI1KUA29Wat5%2Fznn0nu7rwdRj6Q7cqy%2FgT%2FUKjpY9Tb45isN0H00uSF3%2Bpget7tl3m2eEe4z1sa2RDRSQ%2BLoB2Q88k4Ot4ftWYhraZECGLjXdbuk5dYJqKGaLB9SpcVeNh01sqKmEPKJWS1JvNNbmnMtPIPvvebBW3qrhGDD6JqIRwlNX3pIg%2BToHoD2g9u8G25Uo4bPOvoFYap%2FeXpQ3MDBNC450I39nE%2B6V5fBWd9YCn2TyzCfebbmr5qctKTyau9PHwUiBVyekL%2Buj1s4ptX1jsba6m2pJBBZ9wpdiyWYjNuxW4i3zGWyYY7OVSoFSHWvp876BT7WTES46lMpSGwlpmGI2oLIT9L6DuBgysdfaQfVa%2F3rx0GHVxDj7mMgNbw3Vl1vQ%2BsLCG3Cc%2FOirRfBNHLjivbKhQid9pBk%2BYvcAyJD48KIBbU3q3gi7qAfKrOSd9zbqJIF1j1vnjQDi7Ig%2FDibaS7SC22olGjY4A%2BUCyK7cWht2wacQ2VY2gwH7F6GsbqXn1qkeDlQWXFt5kSlMYLDQdg8FmvxN4imRqev5LZdgusC%2BICUeCtEeDze6B54cjlXJglTjPH64t172Sa47BjWFwD9DjnxuG%2FAnhn62rP2KjuSFwvhRohpzxofoe4b9CxFjWqPuVxm1wvdXZarw%2BqhNQBgYFlvn8BJaQ9O423xeWdQ0uUcQWk%2BkMyVyF9kW8JULvYmNtrxzroiq24jCyzr%2B2BjqyAaQbIa1iABXwQdbL7%2BuEO8ZfhV9Mdz%2F%2Ba93ug26SpBjRPmzuoBHCO5847XhDsplD%2F4gVTdlIdtiJFfKT%2B7WytrluvhyDBKlpVXNf3ugrbE9z0pCGhpXtLkhWipDpNrnWL%2FJo%2BlGoDRpfLjB9NOYPbFdd5K61cEpiMamVicqSq7rMFPTskRP53Q0ZK0gMqZFykaVPttest%2BB01VA%2B9CvcJ3fSjXgipUCP3lQHk8zT%2Fkj4uLo%3D&amp;X-Amz-Algorithm=AWS4-HMAC-SHA256&amp;X-Amz-Date=20240829T035807Z&amp;X-Amz-SignedHeaders=host&amp;X-Amz-Expires=300&amp;X-Amz-Credential=ASIAQ3PHCVTY5FBUK46I%2F20240829%2Fus-east-1%2Fs3%2Faws4_request&amp;X-Amz-Signature=9134f4ae7fa5faa25c7d3dc560f583071d927295772dc10d57e6afc140338777&amp;hash=f0df8ab1e9ac179617e5082ceafcce72d826b840dddf1e488ccaf9e1be49d609&amp;host=68042c943591013ac2b2430a89b270f6af2c76d8dfd086a07176afe7c76c2c61&amp;pii=S1452398123161712&amp;tid=spdf-956a0ba9-5dd6-4cf5-b72c-d993bdd9aea8&amp;sid=a578a3ec25bc214e6a4bb701054ec98db058gxrqa&amp;type=client&amp;tsoh=d3d3LnNjaWVuY2VkaXJlY3QuY29t&amp;ua=01105b06035c590304&amp;rr=8ba99ef0d9765ab8&amp;cc=au</t>
  </si>
  <si>
    <t>https://www.sciencedirect.com/science/article/pii/S0010938X98000924#aep-section-id13</t>
  </si>
  <si>
    <t>CC1=CNN(S)S1</t>
  </si>
  <si>
    <t>2-mercapto-5-methyl-thiadiazole</t>
  </si>
  <si>
    <t>thiadiazole</t>
  </si>
  <si>
    <t>2-amino-5-mercapto-thiadiazole</t>
  </si>
  <si>
    <t>SC1=CNN(N)S1</t>
  </si>
  <si>
    <t>SC1=NCCS1</t>
  </si>
  <si>
    <t>2Mercapto-Thiazoline</t>
  </si>
  <si>
    <t>thiazoline</t>
  </si>
  <si>
    <t>2Amino-Thiazoline</t>
  </si>
  <si>
    <t>NC1=NCCS1</t>
  </si>
  <si>
    <t>2Amino-Thiazole</t>
  </si>
  <si>
    <t>2Amino-4Methyl-Thiazole</t>
  </si>
  <si>
    <t>CC1=CSC(N)=N1</t>
  </si>
  <si>
    <t>1mM</t>
  </si>
  <si>
    <t>https://pdf.sciencedirectassets.com/278663/1-s2.0-S1878535219X0009X/1-s2.0-S1878535217301090/main.pdf?X-Amz-Security-Token=IQoJb3JpZ2luX2VjECUaCXVzLWVhc3QtMSJIMEYCIQClc2zE74WmTPZHxaA1IkVufjfCMRbPcuTGQ6i2ybbYkgIhAIMbzJPJ5%2B18C3dgJvbNxhPQWQ8XCZ5aAjF0Gwnh%2B%2FLIKrIFCD0QBRoMMDU5MDAzNTQ2ODY1IgyUK47alCrr5gXjf1gqjwV%2F8poGJXPmLk7gYkxDQvcYKhUisHHMuMBX7%2BtLzq18VIjSjPuHUdary9F6fCAbeXXx9ldCaGtBHtF84ar2isGNHvgbbGWpZXUP39OySvYIb0cN2qNjcWElk3%2FdJvlWt11CjfDTuiTYu242nSlTGwpzHxKtLt6b5W2e2Tj3P0do%2FR%2B1veE7poDebm%2Be7OO7FTslzPTxbToRPTI2IsdlBgZ2UgjacsT2prBNVHN18T3y95BO5TqmJudUw10Fsxia4dTZ4tCeNGLBI7rPQd3o02b18Tec0RnR4eyeDvZblas2cW45easBXd0h%2FuxZquARbkM3ZmANuluTpPNkJMD7sxKG%2FJngu9B3oFR7fVTa6sNpviyILbz%2BN0BQiDGC9sXJ01spkC9c6WXwXemYXI3n5Lgyu7vmW9w7VO%2BTHjo2qGDqNzkYA%2FJr4s1eBvn43yint%2Be%2B56Zp3J7ygzektyp%2BRwqeTTDiHj5pkkDADSb0OYjASnuDfM%2B4UT07V9yUIVEpn9RCOKAd%2BS8Z6P0ORDIe7afNbarkNuXlWBlPmXAAFIZ%2BUbKBuZ8sbC7tK56wdBylc%2BwU08GYq008iGUi0HWNQWPf%2BSwYILMjNhL9Ee47cSaYmmE2HjaulMKlRKHSCqCTPp1tSwmBBAl3AqXU8Vz5i5f0Nbwq8uJjk9%2FTjzEkATGhZyiijLotmnfQaCdQmGj1%2BZpgo94AV3YSp%2BrKSJV2%2B8lq0KGGvsIXKLdsSICYuqo9I%2FWyC2uBalzuHnrSeNZrJSJ3pXW2Aj%2FpWbYhDB3n9j9Q7pfFM5WOOeEruJQnQsiDutbmDyHkbeOGiULsYhBsGHofPyq%2F0hH0pMOTRlQEKY2lOVj9sw3Tf7uzsFDM14KOMOnmv7YGOrABsm1U01F6Qp5su5t2uuUHFtm1x5Q0V02Bf%2FpN%2FD5BUD8sx0rAA6YTPVqhdcSsYlAx4kZTyfOHepKI%2F13B1%2BS8mKSXMmMdbadwG4s8%2FjNamUiHuiae%2BTSooGyF7T4zuxVI8ZBHD0uUluK3%2BLd5dkNxd5MpgCqP0tt2LU6RPOgk%2B5LtJH9T8Vhof22VUY5Gpi2SVmi2gTyKJ%2Fj3D%2FSjBQc6isaTUujGzwEL5d84LiQOe3I%3D&amp;X-Amz-Algorithm=AWS4-HMAC-SHA256&amp;X-Amz-Date=20240829T043357Z&amp;X-Amz-SignedHeaders=host&amp;X-Amz-Expires=300&amp;X-Amz-Credential=ASIAQ3PHCVTYTNCEXHRV%2F20240829%2Fus-east-1%2Fs3%2Faws4_request&amp;X-Amz-Signature=dcaaeee9f99b9ef6f10b3e25edb72b8e1a2de0fc5c7d52cbfacff8076a7f4d8a&amp;hash=49b1d11e4e6dc747f8a6ef4ae416e6ac7b2be8f1f04f8c79d256a02f065cf452&amp;host=68042c943591013ac2b2430a89b270f6af2c76d8dfd086a07176afe7c76c2c61&amp;pii=S1878535217301090&amp;tid=spdf-8980bdce-a645-4dbc-96ca-a70b6762256b&amp;sid=a578a3ec25bc214e6a4bb701054ec98db058gxrqa&amp;type=client&amp;tsoh=d3d3LnNjaWVuY2VkaXJlY3QuY29t&amp;ua=01105b06035c045554&amp;rr=8ba9d36e29ba5ab4&amp;cc=au</t>
  </si>
  <si>
    <t>5-Phenyl-1,3,4-thiadiazole-2-thiol</t>
  </si>
  <si>
    <t>SC1=NN=C(C2=CC=CC=C2)S1</t>
  </si>
  <si>
    <t>100 mg/L</t>
  </si>
  <si>
    <t>OC1=CC=CC=C1C2=NN=C(S)S2</t>
  </si>
  <si>
    <t>2-(5-Mercapto-1,3,4-thiadiazole-2-yl)-phenol</t>
  </si>
  <si>
    <t>O=CC1=C(C)N=CN1</t>
  </si>
  <si>
    <t>4-Methyl-5-imidazolecarbaldehyde</t>
  </si>
  <si>
    <t>CC1=C(CC)NC(C(O)=O)=N1</t>
  </si>
  <si>
    <t>Ethyl-4-methyl-imidazolecarboxylate</t>
  </si>
  <si>
    <t>O=C(N1)NC=CC1=O</t>
  </si>
  <si>
    <t>uracil</t>
  </si>
  <si>
    <t>pyrimidine</t>
  </si>
  <si>
    <t>5,6-dihydrouracil </t>
  </si>
  <si>
    <t>O=C(N1)NCCC1=O</t>
  </si>
  <si>
    <t>5-amino-uracil </t>
  </si>
  <si>
    <t>O=C(N1)NC=C(N)C1=O</t>
  </si>
  <si>
    <t>2-thiouracil</t>
  </si>
  <si>
    <t>S=C(N1)NC=CC1=O</t>
  </si>
  <si>
    <t>S=C(N1)NC=C(C)C1=O</t>
  </si>
  <si>
    <t>5-methyl-thiouracil</t>
  </si>
  <si>
    <t>S=C(N1)NC=CC1=S</t>
  </si>
  <si>
    <t>dithiouracil</t>
  </si>
  <si>
    <t>298 K</t>
  </si>
  <si>
    <t>299 K</t>
  </si>
  <si>
    <t>300 K</t>
  </si>
  <si>
    <t>301 K</t>
  </si>
  <si>
    <t>302 K</t>
  </si>
  <si>
    <t>303 K</t>
  </si>
  <si>
    <t>https://www.sciencedirect.com/science/article/pii/S0010938X0200255X#TBL2</t>
  </si>
  <si>
    <t>4-methyl-1-phenyl imidazole</t>
  </si>
  <si>
    <t>CC1=CN(C2=CC=CC=C2)C=N1</t>
  </si>
  <si>
    <t>CC1=CC=C(N2C=C(C)N=C2)C=C1</t>
  </si>
  <si>
    <t>4-methyl-1-(p-tolyl) imidazole</t>
  </si>
  <si>
    <t>https://www.sciencedirect.com/science/article/pii/S0010938X09004764#tbl2</t>
  </si>
  <si>
    <t>5-phenyl-1,3,4-thiadiazole-2-thiol</t>
  </si>
  <si>
    <t>2-(5-mercapto-1,3,4-thiadiazole-2-yl)-phenol</t>
  </si>
  <si>
    <t>https://www.sciencedirect.com/science/article/pii/S0010938X1300142X#t0005</t>
  </si>
  <si>
    <t>2-mercaptobenzothiazole</t>
  </si>
  <si>
    <t>SC1=NC2=CC=CC=C2S1</t>
  </si>
  <si>
    <t>benzothiazole</t>
  </si>
  <si>
    <t>https://www.sciencedirect.com/science/article/pii/S0169433208000913#tbl1</t>
  </si>
  <si>
    <t>Benzotriazole</t>
  </si>
  <si>
    <t>C12=CC=CC=C1NN=N2</t>
  </si>
  <si>
    <t>benzotriazole</t>
  </si>
  <si>
    <t>https://www.sciencedirect.com/science/article/pii/S0010938X09001322?via%3Dihub#bib41</t>
  </si>
  <si>
    <t>1-hydroxybenzotriazole</t>
  </si>
  <si>
    <t>ON1N=NC2=CC=CC=C21</t>
  </si>
  <si>
    <t>NC1=CC(C2=NN=NN2)=CC=C1</t>
  </si>
  <si>
    <t>5-(3-aminophenyl)-tetrazole</t>
  </si>
  <si>
    <t>tetrazole</t>
  </si>
  <si>
    <t>Tetrazole</t>
  </si>
  <si>
    <t>N1N=NN=C1</t>
  </si>
  <si>
    <t>0.1 mM</t>
  </si>
  <si>
    <t>66.20b</t>
  </si>
  <si>
    <t>−110.00b</t>
  </si>
  <si>
    <t>C1(C2=CC=CC=C2)=NN=NN1</t>
  </si>
  <si>
    <t>5-phenyl-tetrazole</t>
  </si>
  <si>
    <t>CN1N=NN=C1S</t>
  </si>
  <si>
    <t>5-mercapto-1 -methyl-tetrazole</t>
  </si>
  <si>
    <t>NC1=NN=NN1</t>
  </si>
  <si>
    <t>CCSC1=NN=C(N)S1</t>
  </si>
  <si>
    <t>2-amino-5-(ethylthio)-1,3,4-thiadiazole</t>
  </si>
  <si>
    <t>CCC1=NN=C(N)S1</t>
  </si>
  <si>
    <t>2-Amino-5-ethyl-1,3,4-thiadiazole</t>
  </si>
  <si>
    <t>4-Methylimidazole</t>
  </si>
  <si>
    <t>CC1=CNC=N1</t>
  </si>
  <si>
    <t>1-Phenyl-4-methylimidazole</t>
  </si>
  <si>
    <t>0.7 mM</t>
  </si>
  <si>
    <t>CC1=CN(C2=CC=C(C)C=C2)C=N1</t>
  </si>
  <si>
    <t>1-(p-Tolyl)-4-methylimidazole</t>
  </si>
  <si>
    <t>4-Methyl-1(4-methoxyphenyl)imidazole</t>
  </si>
  <si>
    <t>COC1=CC=C(N2C=C(C)N=C2)C=C1</t>
  </si>
  <si>
    <t>C12=NC=NC=C1NC=N2</t>
  </si>
  <si>
    <t>purine</t>
  </si>
  <si>
    <t>10 mM</t>
  </si>
  <si>
    <t>1M</t>
  </si>
  <si>
    <t>NC1=C2C(N=CN2)=NC=N1</t>
  </si>
  <si>
    <t>adenine</t>
  </si>
  <si>
    <t>benzoimdazole</t>
  </si>
  <si>
    <t>0.05 mM</t>
  </si>
  <si>
    <t>0.08 mM</t>
  </si>
  <si>
    <t>near neural</t>
  </si>
  <si>
    <t>https://www.sciencedirect.com/science/article/pii/S0010938X09001322?via%3Dihub#bib30</t>
  </si>
  <si>
    <t>4-Amino-4H-1,2,4-Triazole-3-Thiol</t>
  </si>
  <si>
    <t>seawater</t>
  </si>
  <si>
    <t>neutral(seven)</t>
  </si>
  <si>
    <t>https://doi.org/10.5006/0556</t>
  </si>
  <si>
    <t>year</t>
  </si>
  <si>
    <t>4-Methyl-5-vinylthiazole</t>
  </si>
  <si>
    <t>5-(2-Hydroxyethyl)-4-methylthiazole</t>
  </si>
  <si>
    <t>1-phenyl-1H-tetrazole-5-thiol</t>
  </si>
  <si>
    <t>SC1=NN=NN1C2=CC=CC=C2</t>
  </si>
  <si>
    <t>0.58 M</t>
  </si>
  <si>
    <t>CCCCCCCCCCNC1=NNC=N1</t>
  </si>
  <si>
    <t>N-decyl-3-amino-1,2,4-triazole</t>
  </si>
  <si>
    <t>2-amino-5-methyl-1,3,4-thiadiazole</t>
  </si>
  <si>
    <t>CC1=NN=C(N)S1</t>
  </si>
  <si>
    <t>2-amino-5-methylthio-1,3,4- thiadiazole</t>
  </si>
  <si>
    <t>CSC1=NN=C(N)S1</t>
  </si>
  <si>
    <t>CCC1=CC=C(C2=NN=C(N)S2)C=C1</t>
  </si>
  <si>
    <t>2-amino-5-(4-ethylphenyl)-1,3,4-thiadiazole</t>
  </si>
  <si>
    <t>https://link.springer.com/article/10.1007/s11696-019-00774-1</t>
  </si>
  <si>
    <t>2-mercapto-benzimidazole</t>
  </si>
  <si>
    <t>SC[C@@H](C(O)=O)NC(C)=O</t>
  </si>
  <si>
    <t>N-Acetyl cysteine</t>
  </si>
  <si>
    <t>N[C@H](C(C)(S)C)C(O)=O</t>
  </si>
  <si>
    <t>D-penicillamine</t>
  </si>
  <si>
    <t>https://www.sciencedirect.com/science/article/pii/S1452398123011677#tbl0010</t>
  </si>
  <si>
    <t>50 mM</t>
  </si>
  <si>
    <t>Picolinic acid</t>
  </si>
  <si>
    <t>O=C(O)C1=NC=CC=C1</t>
  </si>
  <si>
    <t>carboxylic acid</t>
  </si>
  <si>
    <t>Nicotinic acid</t>
  </si>
  <si>
    <t xml:space="preserve"> Isonicotinic acid</t>
  </si>
  <si>
    <t>O=C(O)C1=CN=CC=C1</t>
  </si>
  <si>
    <t>O=C(O)C1=CC=NC=C1</t>
  </si>
  <si>
    <t>slurry</t>
  </si>
  <si>
    <t>https://www.sciencedirect.com/science/article/pii/S0169433224008626#t0010</t>
  </si>
  <si>
    <t>L-cysteine</t>
  </si>
  <si>
    <t>N[C@@H](CS)C(O)=O</t>
  </si>
  <si>
    <t>O=C(O)[C@H](CCSC)N</t>
  </si>
  <si>
    <t>L-met</t>
  </si>
  <si>
    <t>O=C(O)[C@H](CC1=CC=C(C=C1)O)N</t>
  </si>
  <si>
    <t>L-tyr</t>
  </si>
  <si>
    <t>L-his</t>
  </si>
  <si>
    <t>O=C(O)[C@H](CC1=CNC=N1)N</t>
  </si>
  <si>
    <t>https://www.sciencedirect.com/science/article/pii/S0167732224001685#t0005</t>
  </si>
  <si>
    <t xml:space="preserve"> Tolyltriazole</t>
  </si>
  <si>
    <t>CC1=CC=C(C2=CNN=N2)C=C1</t>
  </si>
  <si>
    <t>1 ppm</t>
  </si>
  <si>
    <t>cooling water</t>
  </si>
  <si>
    <t>4,6-Diamino-2-mercaptopyrimidine</t>
  </si>
  <si>
    <t>SC1=NC(N)=CC(N)=N1</t>
  </si>
  <si>
    <t>2-(pyridin-2-yliminomethyl)-phenol</t>
  </si>
  <si>
    <t>OC1=CC=CC=C1C=NC2=NC=CC=C2</t>
  </si>
  <si>
    <t>2-Mercapto-4-amino-5-nitroso-6-hydroxy pyrimidine</t>
  </si>
  <si>
    <t>OC1=C(N=O)C(N)=NC(S)=N1</t>
  </si>
  <si>
    <t>0.1 M</t>
  </si>
  <si>
    <t>5-Methyl-thiouracil</t>
  </si>
  <si>
    <t>Dithiouracil</t>
  </si>
  <si>
    <t xml:space="preserve"> N-phenyl-1,4-phenylenediamine</t>
  </si>
  <si>
    <t>NC1=CC=C(NC2=CC=CC=C2)C=C1</t>
  </si>
  <si>
    <t>amine</t>
  </si>
  <si>
    <t>SC1=CC=C(N)C=C1</t>
  </si>
  <si>
    <t>4-aminothiophenol</t>
  </si>
  <si>
    <t>Methionine</t>
  </si>
  <si>
    <t>N[C@@H](CCSC)C(O)=O</t>
  </si>
  <si>
    <t>5-(3-Aminophenyl)-tetrazole</t>
  </si>
  <si>
    <t>5-Phenyl-1-H tetrazole</t>
  </si>
  <si>
    <t>0.6 M</t>
  </si>
  <si>
    <t>4-Methyl-1-(p-tolyl) imidazole</t>
  </si>
  <si>
    <t>0.5 M</t>
  </si>
  <si>
    <t>5-Amino-tetrazole</t>
  </si>
  <si>
    <t>5-Mercapto-1-methyl-tetrazole</t>
  </si>
  <si>
    <t>5-Mercapto-1-phenyl-tetrazole</t>
  </si>
  <si>
    <t>313K</t>
  </si>
  <si>
    <t>5-Phenyl-tetrazole</t>
  </si>
  <si>
    <t>NC1=CC=C(C=C1)S(NC2=NC=CS2)(=O)=O</t>
  </si>
  <si>
    <t>Sulfathiazole</t>
  </si>
  <si>
    <t>80 ppm</t>
  </si>
  <si>
    <t>https://www.sciencedirect.com/science/article/pii/S1878535217301090</t>
  </si>
  <si>
    <t>metal</t>
  </si>
  <si>
    <t>2-mercapto-1-methylbenzimidazole</t>
  </si>
  <si>
    <t>https://www.sciencedirect.com/science/article/pii/S0010938X24005237#tbl0010</t>
  </si>
  <si>
    <t>CN1C2=CC=CC=C2N=C1S</t>
  </si>
  <si>
    <t>3-amino-1, 2, 4-triazole-5-thiol</t>
  </si>
  <si>
    <t xml:space="preserve">brass </t>
  </si>
  <si>
    <t xml:space="preserve"> https://www.sciencedirect.com/science/article/pii/S2405844020308707#tbl1</t>
  </si>
  <si>
    <t>4-methyl-2-phenylimidazole</t>
  </si>
  <si>
    <t>CC1=CNC(C2=CC=CC=C2)=N1</t>
  </si>
  <si>
    <t>OCC1=C2N=NNC2=CC=C1</t>
  </si>
  <si>
    <t>1-hydroxy methyl benzotriazole</t>
  </si>
  <si>
    <t>https://www.sciencedirect.com/science/article/pii/S0010938X20302468</t>
  </si>
  <si>
    <t>https://www.sciencedirect.com/science/article/pii/S0169433204005756#TBL1</t>
  </si>
  <si>
    <t>SC1=NN=C(O1)C2=CC=NC=C2</t>
  </si>
  <si>
    <t>https://www.sciencedirect.com/science/article/pii/S0013468621015723#tbl0001</t>
  </si>
  <si>
    <t>OC(CN(CC)CC)CN(CC)CC</t>
  </si>
  <si>
    <t>1,3-bis-diethylamino-propan-2-ol</t>
  </si>
  <si>
    <t> simulated atmospheric water</t>
  </si>
  <si>
    <t>https://www.sciencedirect.com/science/article/pii/S0010938X07000856#tbl1</t>
  </si>
  <si>
    <t>NCC(C)C(C)CNCC(C)C(C)CN</t>
  </si>
  <si>
    <t>N-(4-amino-2, 3-dimethylbutyl)-2, 3-dimethylbutane-1, 4-diamine</t>
  </si>
  <si>
    <t>HAl77-2 copper alloy</t>
  </si>
  <si>
    <t>https://www.sciencedirect.com/science/article/pii/S0169433216319985#tbl0005</t>
  </si>
  <si>
    <t>2-[(E)-pyridin-2-ylimino)methyl)]phenol</t>
  </si>
  <si>
    <t>2-[(pyridin-2-ylamino)methyl]phenol</t>
  </si>
  <si>
    <t>CC1=CC=CC=C1/C=N/C2=CC=CC=N2</t>
  </si>
  <si>
    <t>CC1=CC=CC=C1CNC2=CC=CC=N2</t>
  </si>
  <si>
    <t>2,6-diaminopurine</t>
  </si>
  <si>
    <t>NC1=C2NC=NC2=NC(N)=N1</t>
  </si>
  <si>
    <t>SBF</t>
  </si>
  <si>
    <t>https://www.sciencedirect.com/science/article/pii/S0010938X04002355</t>
  </si>
  <si>
    <t>https://www.sciencedirect.com/science/article/pii/S2211379719303675#s0010</t>
  </si>
  <si>
    <t>CC(NC1=CC=CC=C1)N2N=NC3=CC=CC=C32</t>
  </si>
  <si>
    <t>N-[1-(benzotriazol-1-yl) ethyl] aniline</t>
  </si>
  <si>
    <t>Cu alloy</t>
  </si>
  <si>
    <t>dibenzotriazole-1-ylmethylaminoethane</t>
  </si>
  <si>
    <t>CCN(CN1N=NC2=CC=CC=C21)N3N=NC4C3C=CC=C4</t>
  </si>
  <si>
    <t>https://www.sciencedirect.com/science/article/pii/S0169433204008037#TBL1</t>
  </si>
  <si>
    <t>CN(CN1N=NC2=CC=CC=C21)N3N=NC4C3C=CC=C4</t>
  </si>
  <si>
    <t>N,N-dibenzotriazol-1-ylmethylaminomethane</t>
  </si>
  <si>
    <t>https://www.sciencedirect.com/science/article/pii/S0169433204012413#tbl1</t>
  </si>
  <si>
    <t>OCCCC1=C2N=NNC2=CC=C1</t>
  </si>
  <si>
    <t>3-hydroxypropyl benzotriazole</t>
  </si>
  <si>
    <t>https://www.sciencedirect.com/science/article/pii/S0254058408002885</t>
  </si>
  <si>
    <t>NC(NC1=NN=C(C2=CC=CC=C2)C(C3=CC=CC=C3)N1)=N</t>
  </si>
  <si>
    <t>N-(5,6-diphenyl-4,5-dihydro-[1,2,4]triazin-3-yl)-guanidine</t>
  </si>
  <si>
    <t>SC1=NC(S)=NC(S)=N1</t>
  </si>
  <si>
    <t>2,4,6-trimercapto-1,3,5-triazine</t>
  </si>
  <si>
    <t>triazine</t>
  </si>
  <si>
    <t>https://link.springer.com/content/pdf/10.1007/s11665-013-0788-4.pdf</t>
  </si>
  <si>
    <t>OC1=NC2=CC=CC=C2C=C1</t>
  </si>
  <si>
    <t>hydroxyquinoline</t>
  </si>
  <si>
    <t>quinoline</t>
  </si>
  <si>
    <t>https://pdf.sciencedirectassets.com/271639/1-s2.0-S0010938X00X00418/1-s2.0-S0010938X98000900/main.pdf?X-Amz-Security-Token=IQoJb3JpZ2luX2VjED0aCXVzLWVhc3QtMSJIMEYCIQC8dekTWq8HIUoYv%2F%2B999Khcvvy53zqXfu9R%2FFbz6Wv1QIhAPzipXXRJA9%2BMFwmHAE8fvG2uyQZUpt8%2Fz79ffN2JXfAKrMFCFYQBRoMMDU5MDAzNTQ2ODY1Igwv8I9wUk45JSUtbrsqkAWn75g53%2BQbqrGGmxT6S2z%2FlAlSXS6xenelVnkT8X0PQsa%2FNuQa2pjf1SAmJpv5t1b4WEaedMAAchkvqlJTbBVjYFhTEKgZ1gy24OBIOwoFvYJi7go8NFIZ9sbmu76aUYPltrIOX3kVoNJQfKgPZLA3%2Fcv5QxAS93setInDXd1z4%2FmNvJ0u9biI2ILeTLHecgO4J0rgGZ2Xpq0B4iwYQYUSIwSUzg0AENCta7t0UlLYTtGoL82%2FCCjV%2FMCNR0hbpP4FyHn8L1mo%2F67lFzgN%2Bu3hSTFkksZ%2FcvCoT2%2FM200pVirNRRnZ5tDEvWbgAUDt59FmqGVJFNgSW0WEuO1k4dhNEU2XRGOmlPfMeIssaAi3vPHrXDd%2FIGf%2BVdXk6Kff9E0OTdnhzQXwoQ5QXs1c5hDQffbt075%2FAogSk0QFqU0nC1IN%2Bl6XFK8Y6%2FvU1v4FtWmlJwcLBvQa6F5gfkkutgsrA2ITzBCtuiV9VsdN91McaY6EqW6RaGNINwdKwL0G95SnPhFkCRtZ4H7loiDRagPm8TejRcZfSzDePMJ9Akc%2B92ABC9RjEaxnTEzNtDLalPfTS%2FlQlJaq%2Bb27zhXg9vCrcZGKTftOXAitxbBVbLqx7KdOWO9tnYCQLe0AqClpHndaovlzVLw2SeTbDUx28C2K0Ew7SA7GW%2BJL55y0ba98NbPd2%2FbPbBRj0W7An68WmqOgWs89WrJtd4R%2Frp57w2UrWC306F0%2BRMraqpgVmpE8rqQHnVwwKV9%2FrOl3nuqJKoYvUkUc4alwl5NKTAnl2r08g%2BkDDFhcRgnimF0PPHMJPfTkIm7nQ9jSBKyHVeJRViev72hFePWUY0p7QIXQO8CDbevF74ArD6U1bg1npW3zsDDRo8W2BjqwAfGPBosHbJStmH18L%2FZ88j60T6GyAQuU1L7p%2FWBZoLeVGGmMLtrFLPXGGKNdKqG6vxpeYAKMxgBy8onsngVUkSOqUZ%2B4tJ2UAy4I6YE8e1CBXyS%2Bdi1NgwXLSTvXPbdMsCoG2Gf66fDBhAg7DZi9G7D5s219JyECxIZCI%2FmXT75m3dWHV7UdqkgvDJ%2Bnvw2Epi8cB7hQRS4OL0ftmyO4wnSKdX2cJGgMVk3HZ9Yl2oC7&amp;X-Amz-Algorithm=AWS4-HMAC-SHA256&amp;X-Amz-Date=20240830T062256Z&amp;X-Amz-SignedHeaders=host&amp;X-Amz-Expires=300&amp;X-Amz-Credential=ASIAQ3PHCVTY5ACN6R6E%2F20240830%2Fus-east-1%2Fs3%2Faws4_request&amp;X-Amz-Signature=25a32b82c80893231112aee4a5000184e777e9a700176a2d7dcc1ff1fae66d39&amp;hash=ceb7770e46bd19e5a200b130a791c736efb55dd69a4782bc95bce00eb81d4b0c&amp;host=68042c943591013ac2b2430a89b270f6af2c76d8dfd086a07176afe7c76c2c61&amp;pii=S0010938X98000900&amp;tid=spdf-e92cea5a-4e74-4ab8-a354-93871f22b7a7&amp;sid=a578a3ec25bc214e6a4bb701054ec98db058gxrqa&amp;type=client&amp;tsoh=d3d3LnNjaWVuY2VkaXJlY3QuY29t&amp;ua=01105b060057025655&amp;rr=8bb2b0726bac17cc&amp;cc=au</t>
  </si>
  <si>
    <t>5-methyl benzotriazole</t>
  </si>
  <si>
    <t>CC1=CC=C(NN=N2)C2=C1</t>
  </si>
  <si>
    <t>https://www.sciencedirect.com/science/article/pii/0010938X96001217</t>
  </si>
  <si>
    <t>2-mercapto-5-methylthiadiazole</t>
  </si>
  <si>
    <t>2-amino, 5-methylthiadiazole</t>
  </si>
  <si>
    <t>NN1SC(C)=CN1</t>
  </si>
  <si>
    <t>O=C(NN)CN1C(C2=CC=CC=C2)C/C(CC1C3=CC=CC=C3)=N/N</t>
  </si>
  <si>
    <t>(4-Hydrazono2,6-diphenyl-piperidin-1-yl)-ethanoic acid hydrazide</t>
  </si>
  <si>
    <t>piperidine</t>
  </si>
  <si>
    <t>natural sea water</t>
  </si>
  <si>
    <t>https://link.springer.com/content/pdf/10.1007/s10008-011-1330-y.pdf</t>
  </si>
  <si>
    <t>S=C1OC(CN2C(C3=CC=CC=C3)C/C(CC2C4=CC=CC=C4)=N/N)=NN1</t>
  </si>
  <si>
    <t xml:space="preserve"> 5-(2,6-diphenyl-4-hydrazono-piperidin-1-
ylmethyl)-3H-[1, 3, 4]oxadiazole-2-thione</t>
  </si>
  <si>
    <t>4- amino-5-(2,6-diphenyl-4-hydrazono-piperidin-1-ylmethyl)- 4H-[1, 2, 4]triazole-3-thiol</t>
  </si>
  <si>
    <t>SC1=NN=C(CN2C(C3=CC=CC=C3)C/C(CC2C4=CC=CC=C4)=N/N)N1N</t>
  </si>
  <si>
    <t>303K</t>
  </si>
  <si>
    <t>SC1=NN=C(C2=CC=CC=C2)N1N</t>
  </si>
  <si>
    <t>4-amino-5-phenyl-4H-1,2,4-triazole-3-thiol</t>
  </si>
  <si>
    <t>0.42 mM</t>
  </si>
  <si>
    <t>SC1=NN=C(C2=CC([N+]([O-])=O)=C(N)C=C2)N1</t>
  </si>
  <si>
    <t>Int J Electrochem Sci, 8 (2013), pp. 8513-8529</t>
  </si>
  <si>
    <t>4-amino-5-nitrophenyl-4H- 1,2,4-triazole-3-thiol</t>
  </si>
  <si>
    <t>bronze</t>
  </si>
  <si>
    <t xml:space="preserve"> 3-phenyl-1,2,4-triazole-5-thione</t>
  </si>
  <si>
    <t>S=C1N=C(C2=CC=CC=C2)N=N1</t>
  </si>
  <si>
    <t>https://www.sciencedirect.com/science/article/pii/S0013468607001880#aep-section-id21</t>
  </si>
  <si>
    <t>(S, E)−2-(benzylideneamino)−3-mercaptopropanoic acid</t>
  </si>
  <si>
    <t>O=C(O)[C@H](/N=C/C1=CC=CC=C1)CS</t>
  </si>
  <si>
    <t>decanoic acid</t>
  </si>
  <si>
    <t>CCCCCCCCCC(O)=O</t>
  </si>
  <si>
    <t>https://www.sciencedirect.com/science/article/pii/S246802302400155X#tbl0003</t>
  </si>
  <si>
    <t>6-mercaptopurine</t>
  </si>
  <si>
    <t>SC1=C2NC=NC2=NC=N1</t>
  </si>
  <si>
    <t>https://www.sciencedirect.com/science/article/pii/S0010938X24005353?via%3Dihub</t>
  </si>
  <si>
    <t>1-benzyl-4-((benzyloxy)methyl)-1H-1,2,3-triazole</t>
  </si>
  <si>
    <t>N1(CC2=CC=CC=C2)N=NC(COCC3=CC=CC=C3)=C1</t>
  </si>
  <si>
    <t>https://www.sciencedirect.com/science/article/pii/S0022286022012467#tbl0002</t>
  </si>
  <si>
    <t>1-phenyl-5-mercaptotetrazole</t>
  </si>
  <si>
    <t>1.12 mM</t>
  </si>
  <si>
    <t>simulated seawater</t>
  </si>
  <si>
    <t>https://www.sciencedirect.com/science/article/pii/S0927775723004387#bib21</t>
  </si>
  <si>
    <t>5-(3-Aminophenyl)tetrazole</t>
  </si>
  <si>
    <t>Cu alloy Cu-Ni</t>
  </si>
  <si>
    <t>8 mM</t>
  </si>
  <si>
    <t>48 h</t>
  </si>
  <si>
    <t>https://www.sciencedirect.com/science/article/pii/S1878535213002608?pes=vor#f0005</t>
  </si>
  <si>
    <t>5-phenyl-1-H-tetrazole</t>
  </si>
  <si>
    <t>Int. J. Electrochem. Sci., 7 (2012), pp. 3289-3298</t>
  </si>
  <si>
    <t>carbamate</t>
  </si>
  <si>
    <t>https://www.sciencedirect.com/science/article/pii/S0010938X17311551#fig0020</t>
  </si>
  <si>
    <t>[S-]C(NN1CCCC1)=S.[NH4+]</t>
  </si>
  <si>
    <t>ammonium pyrrolidinedithiocarbamate</t>
  </si>
  <si>
    <t>thiadizole</t>
  </si>
  <si>
    <t>3-phenyl-1,2,4-triazole thione</t>
  </si>
  <si>
    <t>https://journals.sagepub.com/doi/epdf/10.1179/1743278214Y.0000000200?src=getftr</t>
  </si>
  <si>
    <t>https://www.emerald.com/insight/content/doi/10.1108/ACMM-05-2013-1265/full/pdf</t>
  </si>
  <si>
    <t>4-amino-3-methyl-1,2,4-triazole-5-thione</t>
  </si>
  <si>
    <t>S=C1N(N)C(C)=NN1</t>
  </si>
  <si>
    <t>3-Ethyl-6-methyl quinoxalin-2-one</t>
  </si>
  <si>
    <t>O=C1NC2=C(C=C(C)C=C2)N=C1CC</t>
  </si>
  <si>
    <t>1-benzyl 3,6- dimethyl quinoxalin-2-one</t>
  </si>
  <si>
    <t>O=C1N(CC2=CC=CC=C2)C3=C(C=C(C)C=C3)N=C1C</t>
  </si>
  <si>
    <t>CC1=CC2=C(N=C(OC3=CC=CC=C3)C(C)=N2)C=C1</t>
  </si>
  <si>
    <t>2-benzyloxy-dimethyl-3,6-quinoxalin1-benzyl</t>
  </si>
  <si>
    <t>O=C1N(C2=CC=CC=C2)C3=C(C=C(C)C=C3)N=C1C</t>
  </si>
  <si>
    <t xml:space="preserve"> 1-methyl quinoxalin-2-one</t>
  </si>
  <si>
    <t>https://link.springer.com/content/pdf/10.1007/s12034-010-0048-2.pdf</t>
  </si>
  <si>
    <t>28.0 mmol/L NaCl+10.0 mmol/L Na2SO4 +16.0 mmol/L NaHCO3</t>
  </si>
  <si>
    <t>2-amino-5-mercapto-1,3,4-thiadiazole</t>
  </si>
  <si>
    <t>SC1=NN=C(N)S1</t>
  </si>
  <si>
    <t>3-Thiophenemalonic acid</t>
  </si>
  <si>
    <t>O=C(O)C(C1=CSC=C1)C(O)=O</t>
  </si>
  <si>
    <t>https://www.emerald.com/insight/content/doi/10.1108/ACMM-03-2015-1519/full/html</t>
  </si>
  <si>
    <t>0.5M</t>
  </si>
  <si>
    <t>https://www.sciencedirect.com/science/article/pii/S1452398123148346</t>
  </si>
  <si>
    <t>4-Amino-4H-1,2,4-Triazole</t>
  </si>
  <si>
    <t>NN1C=NN=C1</t>
  </si>
  <si>
    <t>Thiosemicarbazide</t>
  </si>
  <si>
    <t>NNC(N)=S</t>
  </si>
  <si>
    <t>https://www.sciencedirect.com/science/article/pii/S0254058402005138?via%3Dihub#BIB12</t>
  </si>
  <si>
    <t>phenyl isothiocyanate</t>
  </si>
  <si>
    <t>S=C=NC1=CC=CC=C1</t>
  </si>
  <si>
    <t>Diethyldithiocarbamate</t>
  </si>
  <si>
    <t>SC(N(CC)CC)=S</t>
  </si>
  <si>
    <t>NC(NNC(NC1=CC=CC=C1)=S)=S</t>
  </si>
  <si>
    <t>1-pheny-1,2,5-dithiohydrazodicarbonamide</t>
  </si>
  <si>
    <t>weight loss</t>
  </si>
  <si>
    <t>Diethyldithiocarbamate as a corrosion inhibitor for copper and brass in sea water</t>
  </si>
  <si>
    <t>https://www.sciencedirect.com/science/article/pii/S0010938X20302468?via%3Dihub#fig0015</t>
  </si>
  <si>
    <t>1-(2-Pyrrole carbonyl) benzotriazole </t>
  </si>
  <si>
    <t>groundwater</t>
  </si>
  <si>
    <t>1-(2-thienyl carbonyl)-benzotriazole</t>
  </si>
  <si>
    <t>https://analyticalsciencejournals.onlinelibrary.wiley.com/doi/10.1002/sia.5755</t>
  </si>
  <si>
    <t>0.11 mM</t>
  </si>
  <si>
    <t>O=C(N1N=NC2=CC=CC=C21)C3=CC=CS3</t>
  </si>
  <si>
    <t>O=C(N1N=NC2=CC=CC=C21)C3=CC=CN3</t>
  </si>
  <si>
    <t>1-phenyl-2,4-dithiobiuret</t>
  </si>
  <si>
    <t>S=C(NC(N)=S)NC1=CC=CC=C1</t>
  </si>
  <si>
    <t>0.71 mM</t>
  </si>
  <si>
    <t>1-p-methoxyphenyl-2,4-dithiobiuret</t>
  </si>
  <si>
    <t>S=C(NC(N)=S)NC1=CC=C(OC)C=C1</t>
  </si>
  <si>
    <t>0.62 mM</t>
  </si>
  <si>
    <t>https://www.peacta.org/articles_upload/PEA_28_1_2010_51_62.pdf</t>
  </si>
  <si>
    <t>5-(phenyl)-4H-1,2,4-triazole-3-thiol</t>
  </si>
  <si>
    <t>https://www.sciencedirect.com/science/article/pii/S0254058406003208?via%3Dihub</t>
  </si>
  <si>
    <t>2.8 mM</t>
  </si>
  <si>
    <t>first moment</t>
  </si>
  <si>
    <t>N-Phenyl-p-phenylenediamine</t>
  </si>
  <si>
    <t>https://iopscience.iop.org/article/10.1149/1.2018254/pdf</t>
  </si>
  <si>
    <t>O=C(C1=C(CC(OC)=O)N2C(N=C1)=NC=N2)OC</t>
  </si>
  <si>
    <t>carboxylate</t>
  </si>
  <si>
    <t>Methyl 7-(2-methoxy-2-oxoethyl)-[1,2,4]triazolo-[1,5-a]pyrimidine-6-carboxylate</t>
  </si>
  <si>
    <t>O=C(C1=C(CC(OC)=O)N2C(N=C1)=NC(SC)=N2)OC</t>
  </si>
  <si>
    <t>Methyl 7-(2-methoxy-2-oxoethyl)-2-(methylthio)-[1,2,4]triazolo[1,5-a]-pyrimidine-6-carboxylate</t>
  </si>
  <si>
    <t>O=C(C1=C(CC(OC)=O)N2C(N=C1)=NC(N)=N2)OC</t>
  </si>
  <si>
    <t>Methyl 2-amino-7-(2-methoxy-2-oxoethyl)-[1,2,4]triazolo[1,5-a]-pyrimidine-6-carboxylate</t>
  </si>
  <si>
    <t>O=C(C1=C(CC(OC)=O)N2C(N=C1)=NC(C3=CC=CC=C3)=N2)OC</t>
  </si>
  <si>
    <t>Methyl 7-(2-methoxy-2-oxoethyl)-2-phenyl-[1,2,4]triazolo[1,5-a]-pyrimidine-6-carboxylate</t>
  </si>
  <si>
    <t>benzotriazole </t>
  </si>
  <si>
    <t>O=C(C1=CNC2=NC(SC)=NN2C1CC(OC)=O)OC</t>
  </si>
  <si>
    <t>Methyl 7-(2-methoxy-2-oxoethyl)-2-(methylthio)-4,7-dihydro-[1,2,4]triazolo-[1,5-a]pyrimidine-6-carboxylate</t>
  </si>
  <si>
    <t>3-sulphinylpropyl-5-amino-1H-1,2,4-triazole</t>
  </si>
  <si>
    <t>NC1=NC(CCCS(CC)=O)=NN1</t>
  </si>
  <si>
    <t>https://pdfs.semanticscholar.org/6ed6/921b2af525bc6135483a93077ad80999dbf5.pdf</t>
  </si>
  <si>
    <t>https://www.webofscience.com/wos/woscc/full-record/WOS:000502570800159</t>
  </si>
  <si>
    <t>3-sulphinylbutyl-5-amino-1H-1,2,4-triazole</t>
  </si>
  <si>
    <t>NC1=NC(CCCS(CCC)=O)=NN1</t>
  </si>
  <si>
    <t>3-sulphinylpentyl-5-amino-1H-1,2,4-triazole</t>
  </si>
  <si>
    <t>NC1=NC(CCCS(CCCC)=O)=NN1</t>
  </si>
  <si>
    <t>NC1=NC(CCCS(CCC2=CC=CC=C2)=O)=NN1</t>
  </si>
  <si>
    <t>3-phenethylsulphinyl-5-amino-1H-1,2,4-triazole</t>
  </si>
  <si>
    <t>Isoniazid</t>
  </si>
  <si>
    <t>O=C(NN)C1=CC=NC=C1</t>
  </si>
  <si>
    <t>https://www.scientific.net/AMR.311-313.657</t>
  </si>
  <si>
    <t>5-Ethyl-1,3,4-thiadiazol-2-amine</t>
  </si>
  <si>
    <t>https://www.sciencedirect.com/science/article/pii/S1452398123139186?via%3Dihub</t>
  </si>
  <si>
    <t>NC1=NN=C(CC)S1</t>
  </si>
  <si>
    <t>https://www.webofscience.com/wos/woscc/full-record/WOS:A1996VX38600011</t>
  </si>
  <si>
    <t>5-mercapto-1-methyl-tetrazole</t>
  </si>
  <si>
    <t>5-mercapto-1-phenyl-tetrazole</t>
  </si>
  <si>
    <t xml:space="preserve"> 5-amino-tetrazole</t>
  </si>
  <si>
    <t>1-Hydroxybenzotriazole</t>
  </si>
  <si>
    <t>https://www.webofscience.com/wos/woscc/full-record/WOS:000401309500003</t>
  </si>
  <si>
    <t>https://link.springer.com/article/10.1134/S2070205114040200</t>
  </si>
  <si>
    <t>(Z)-5-(4-methylbenzylidene)thiazolidine-2,4-dione</t>
  </si>
  <si>
    <t>O=C(NC/1=O)SC1=C/C2=CC=C(C)C=C2</t>
  </si>
  <si>
    <t>(Z)-3-allyl-5-(4-methylbenzylidene)thiazolidine-2,4-dione</t>
  </si>
  <si>
    <t>O=C(N(CC=C)C/1=O)SC1=C/C2=CC=C(C)C=C2</t>
  </si>
  <si>
    <t>thiazolidine</t>
  </si>
  <si>
    <t>https://www.webofscience.com/wos/woscc/full-record/WOS:000724238700001</t>
  </si>
  <si>
    <t>Amino-methyl mercapto triazole</t>
  </si>
  <si>
    <t>NCSC1=CNN=N1</t>
  </si>
  <si>
    <t>Amino Ethyl mercapto triazole</t>
  </si>
  <si>
    <t>name ambiguous</t>
  </si>
  <si>
    <t>SC1=C(CCN)NN=N1</t>
  </si>
  <si>
    <t>Amino propyl mercapto triazole</t>
  </si>
  <si>
    <t>SC1=C(CCCN)NN=N1</t>
  </si>
  <si>
    <t>https://www.webofscience.com/wos/woscc/full-record/WOS:000074086500125</t>
  </si>
  <si>
    <t>https://www.tandfonline.com/doi/full/10.1080/00986445.2011.560518</t>
  </si>
  <si>
    <t xml:space="preserve">CuNi10Fe </t>
  </si>
  <si>
    <t>Protocatechuic acid</t>
  </si>
  <si>
    <t>p-Hydroxybenzoic acid</t>
  </si>
  <si>
    <t>O=C(O)C1=CC=C(O)C=C1</t>
  </si>
  <si>
    <t>OC1=CC(C(O)=O)=CC=C1O</t>
  </si>
  <si>
    <t>https://www.sciencedirect.com/science/article/pii/S1452398123150000?via%3Dihub</t>
  </si>
  <si>
    <t>2-Amino-5-ethyl-1, 3, 4 thiadiazole</t>
  </si>
  <si>
    <t>2-amino-5-ethylthio-1,3,4-thiadiazole</t>
  </si>
  <si>
    <t>2-amino-5-tert-butyl-1,3,4-thiadiazole</t>
  </si>
  <si>
    <t>CC(C1=NN=C(N)S1)(C)C</t>
  </si>
  <si>
    <t>2-mercaptopyridine</t>
  </si>
  <si>
    <t>SC1=NC=CC=C1</t>
  </si>
  <si>
    <t>2.5 mM</t>
  </si>
  <si>
    <t>overlooked</t>
  </si>
  <si>
    <t>2-mercapto-4-amino-5-nitroso-6-hydroxy pyrimidine</t>
  </si>
  <si>
    <t>https://sciencedirect.com/science/article/pii/S0254058410008680?via%3Dihub#sec0030</t>
  </si>
  <si>
    <t>N-benzylhydrazinecarbothioamide</t>
  </si>
  <si>
    <t>NNC(NCC1=CC=CC=C1)=S</t>
  </si>
  <si>
    <t>https://pub.iapchem.org/ojs/index.php/JESE/article/view/2181</t>
  </si>
  <si>
    <t>S=C1NN=C(C2=CC=CC=C2)N1N</t>
  </si>
  <si>
    <t>4-amino,5-phenyl-1,2,4-triazole-3-thione</t>
  </si>
  <si>
    <t>https://revues.imist.ma/index.php/morjchem/article/view/44739/22687</t>
  </si>
  <si>
    <t>Cu30Ni</t>
  </si>
  <si>
    <t>3-methyl-1,2,4-triazole-5-thione</t>
  </si>
  <si>
    <t>S=C1N=C(C)N=N1</t>
  </si>
  <si>
    <t>https://www.sciencedirect.com/science/article/pii/S0022286023009328?via%3Dihub#tbl0002</t>
  </si>
  <si>
    <t>https://www.sciencedirect.com/science/article/pii/S0013468608008177?via%3Dihub#tbl1</t>
  </si>
  <si>
    <t>OC1=CC(/C=C/C(O)=O)=CC=C1O</t>
  </si>
  <si>
    <t>Caffeic Acid</t>
  </si>
  <si>
    <t>https://www.sciencedirect.com/science/article/pii/S1452398123158573?via%3Dihub</t>
  </si>
  <si>
    <t>1-(6-(4-nitrophenyl)-7H[1,2,4]triazolo[3,4-b],[1,3,4]thiadiazine3-yl)ethanol</t>
  </si>
  <si>
    <t>CC(O)C1=NN=C2SCC(C3=CC=C([N+]([O-])=O)C=C3)=NN21</t>
  </si>
  <si>
    <t>0.25 mM</t>
  </si>
  <si>
    <t>1 M</t>
  </si>
  <si>
    <t>https://www.webofscience.com/wos/woscc/full-record/WOS:000398770000022</t>
  </si>
  <si>
    <t>http://ijcsi.pro/wp-content/uploads/2019/05/ijcsi-2019-v8-n2-p19-pp422-436.pdf</t>
  </si>
  <si>
    <t>3-(piperidin-1-yl)-5-amino-1H1,2,4-triazole</t>
  </si>
  <si>
    <t>NC1=NC(N2CCCCC2)=NN1</t>
  </si>
  <si>
    <t>3-(4-methylpiperazin-2-yl)-5- amino-1H-1,2,4-triazole</t>
  </si>
  <si>
    <t>NC1=NC(C2NCCN(C)C2)=NN1</t>
  </si>
  <si>
    <t>3-(4-phenylpiperazin-2-yl)-5- amino-1H-1,2,4-triazole</t>
  </si>
  <si>
    <t>NC1=NC(C2NCCN(C3=CC=CC=C3)C2)=NN1</t>
  </si>
  <si>
    <t>3-(4-benzylpiperazin-1-yl)-5- amino-1H-1,2,4-triazole</t>
  </si>
  <si>
    <t>NC1=NC(N2CCN(CC3=CC=CC=C3)CC2)=NN1</t>
  </si>
  <si>
    <t>0.01 M</t>
  </si>
  <si>
    <t>3-amino-1,2,4-triazole-5-thiol</t>
  </si>
  <si>
    <t>Contribution to the corrosion inhibition of Cu–30Ni copper–nickel alloy by 3-amino-1,2,4-triazole-5-thiol (ATT) in 3% NaCl solution. Experimental and theoretical study (DFT, MC and MD)</t>
  </si>
  <si>
    <t>2,5-dimercapto-1,3,4-thiadiazole</t>
  </si>
  <si>
    <t>https://nopr.niscpr.res.in/bitstream/123456789/7629/1/IJCT%2017(2)%2095-101.pdf</t>
  </si>
  <si>
    <t>SC1=NN=C(S)S1</t>
  </si>
  <si>
    <t>phenyl disulphide</t>
  </si>
  <si>
    <t>C1(SSC2=CC=CC=C2)=CC=CC=C1</t>
  </si>
  <si>
    <t>https://www.sciencedirect.com/science/article/pii/S1452398123198890?via%3Dihub#sec0035</t>
  </si>
  <si>
    <t>2-carboxymethylthio-4-(p-methoxyphenyl)-6-oxo-1,6-dihy-dropyrimidine-5-carbonitrile</t>
  </si>
  <si>
    <t>N#CC1=C(C2=CC=C(OC)C=C2)N=C(SCC(O)=O)NC1=O</t>
  </si>
  <si>
    <t>https://www.sciencedirect.com/science/article/pii/S1878535210000882?via%3Dihub#t0005</t>
  </si>
  <si>
    <t>5-nitroindazole</t>
  </si>
  <si>
    <t>O=[N+](C1=CC2=C(NN=C2)C=C1)[O-]</t>
  </si>
  <si>
    <t>https://www.webofscience.com/wos/woscc/full-record/WOS:000358734800088</t>
  </si>
  <si>
    <t>1-hydroxymethyl benzotriazole</t>
  </si>
  <si>
    <t>https://www.emerald.com/insight/content/doi/10.1108/00035590510603265/full/html</t>
  </si>
  <si>
    <t>C=C/C=C1CN=NN\1CO</t>
  </si>
  <si>
    <t>file:///C:/Users/E116828/Downloads/CorrosionInhibitionEfficiencyofBenzimidazoleand.pdf</t>
  </si>
  <si>
    <t>2-methyl-1H-benzimidazole</t>
  </si>
  <si>
    <t>CC1=NC2=CC=CC=C2N1</t>
  </si>
  <si>
    <t>5(6)-nitro-1H-benzimidazole</t>
  </si>
  <si>
    <t>O=[N+](C1=CC=C2C(N=CN2)=C1)[O-]</t>
  </si>
  <si>
    <t>file:///C:/Users/E116828/Downloads/s10800-008-9641-0.pdf</t>
  </si>
  <si>
    <t>https://doi.org/10.5006/1.3316071</t>
  </si>
  <si>
    <t>monocarboxylates</t>
  </si>
  <si>
    <t>1  mM</t>
  </si>
  <si>
    <t>10 M</t>
  </si>
  <si>
    <t>CuFe10</t>
  </si>
  <si>
    <t>CC(O)=O</t>
  </si>
  <si>
    <t>CCC(O)=O</t>
  </si>
  <si>
    <t>CCCC(O)=O</t>
  </si>
  <si>
    <t>CCCCC(O)=O</t>
  </si>
  <si>
    <t>CCCCCC(O)=O</t>
  </si>
  <si>
    <t>CCCCCCC(O)=O</t>
  </si>
  <si>
    <t>CCCCCCCC(O)=O</t>
  </si>
  <si>
    <t>CCCCCCCCC(O)=O</t>
  </si>
  <si>
    <t>CCCCCCCCCCC(O)=O</t>
  </si>
  <si>
    <t>CCCCCCCCCCCC(O)=O</t>
  </si>
  <si>
    <t>CCCCCCCCCCCCC(O)=O</t>
  </si>
  <si>
    <t>CCCCCCCCCCCCCC(O)=O</t>
  </si>
  <si>
    <t>aspartic acid</t>
  </si>
  <si>
    <t>N[C@@H](CC(O)=O)C(O)=O</t>
  </si>
  <si>
    <t>https://nopr.niscpr.res.in/bitstream/123456789/11042/1/IJCT%2018%281%29%2029-36.pdf</t>
  </si>
  <si>
    <t>RH</t>
  </si>
  <si>
    <t>RaH</t>
  </si>
  <si>
    <t>RmH</t>
  </si>
  <si>
    <t>RbH</t>
  </si>
  <si>
    <t>O=S(C1=CC=CC=C1)(CNC(CC(O)=O)C(O)=O)=O</t>
  </si>
  <si>
    <t>O=S(C1=CC=CC=C1)(CNC(CC2=NC=CN2)C(O)=O)=O</t>
  </si>
  <si>
    <t>O=S(C1=CC=CC=C1)(CNC(CC2=NC=CN2)C3=NC=CN3)=O</t>
  </si>
  <si>
    <t>O=S(C1=CC=CC=C1)(CNCCC2=NC=CN2)=O</t>
  </si>
  <si>
    <t>https://www.sciencedirect.com/science/article/pii/S2405844020308707?via%3Dihub</t>
  </si>
  <si>
    <t>https://hrcak.srce.hr/file/6230</t>
  </si>
  <si>
    <t>4-methyl-imidazole</t>
  </si>
  <si>
    <t>4-metil-5-imidazolkarbaldehid</t>
  </si>
  <si>
    <t>CC1=C(C=O)NC=N1</t>
  </si>
  <si>
    <t>etil-4-metil-5-imidazolkarboksilat</t>
  </si>
  <si>
    <t>CC1=C(C(OCC)=O)NC=N1</t>
  </si>
  <si>
    <t>1-fenil-4-metilimidazol</t>
  </si>
  <si>
    <t>1-(p-tolil)-4-metilimidazol</t>
  </si>
  <si>
    <t>4-metil-1-(4-metoksifenil)- imidazol</t>
  </si>
  <si>
    <t>CC1=CN(C2=CC=C(OC)C=C2)C=N1</t>
  </si>
  <si>
    <t>2-amino-4-methyl-pyridine</t>
  </si>
  <si>
    <t>https://www.webofscience.com/wos/woscc/full-record/WOS:000799245700006</t>
  </si>
  <si>
    <t>CC1=CC(N)=NC=C1</t>
  </si>
  <si>
    <t>N1N=NC=C1</t>
  </si>
  <si>
    <t>https://link.springer.com/article/10.1007/s11665-015-1759-8</t>
  </si>
  <si>
    <t>2,4,6-Trimercapto-1,3,5-triazine</t>
  </si>
  <si>
    <t>https://link.springer.com/article/10.1007/s11665-013-0788-4</t>
  </si>
  <si>
    <t>https://link.springer.com/article/10.1134/S1070427220080078</t>
  </si>
  <si>
    <t>NC1=NC(N)=NN1</t>
  </si>
  <si>
    <t>3,5-Diamino-1H-1,2,4-triazole</t>
  </si>
  <si>
    <t>3-Phenyl-amino-5-amino-1Н-1,2,4-triazole</t>
  </si>
  <si>
    <t>NC1=NNC(NC2=CC=CC=C2)=N1</t>
  </si>
  <si>
    <t>3-(4-Methylphenylamino)-5-amino-1Н-1,2,4-triazole</t>
  </si>
  <si>
    <t>NC1=NNC(NC2=CC=C(C)C=C2)=N1</t>
  </si>
  <si>
    <t>3-(4-Chlorophenylamino)-5-amino-1Н-1,2,4-triazole</t>
  </si>
  <si>
    <t>NC1=NNC(NC2=CC=C(Cl)C=C2)=N1</t>
  </si>
  <si>
    <t>8-hydroxyquinoline</t>
  </si>
  <si>
    <t>estimate</t>
  </si>
  <si>
    <t>https://www.sciencedirect.com/science/article/pii/S0010938X98000900?via%3Dihub#aep-section-id15</t>
  </si>
  <si>
    <t>OC1=C2N=CC=CC2=CC=C1</t>
  </si>
  <si>
    <t xml:space="preserve"> 1-(3-aminopropyl) imidazole</t>
  </si>
  <si>
    <t>https://www.tandfonline.com/doi/epdf/10.1080/01694243.2018.1444004?needAccess=true</t>
  </si>
  <si>
    <t>NCCCN1C=CN=C1</t>
  </si>
  <si>
    <t>C1(NCN2N=NC3=CC=CC=C32)=CC=CC=C1</t>
  </si>
  <si>
    <t xml:space="preserve"> N-[1-(benzotriazol-1-yl)methyl]aniline</t>
  </si>
  <si>
    <t>https://www.sciencedirect.com/science/article/pii/S0169433204005756?via%3Dihub#aep-abstract-id14</t>
  </si>
  <si>
    <t>https://www.sciencedirect.com/science/article/pii/S0927775718303078?via%3Dihub#tbl0005</t>
  </si>
  <si>
    <t>O=S(N1N=NC(CCO)=C1)(C2=CC=C(C)C=C2)=O</t>
  </si>
  <si>
    <t>2-(1-tosyl-1H-1,2,3-triazol-4-yl)-ethanol</t>
  </si>
  <si>
    <t>2-(1-tosyl-1H-1,2,3-triazol-4-yl)-propan-2-ol</t>
  </si>
  <si>
    <t>CC(O)(C1=CN(S(=O)(C2=CC=C(C)C=C2)=O)N=N1)C</t>
  </si>
  <si>
    <t>3-phenyl-1.2.4-triazole-5-thione</t>
  </si>
  <si>
    <t>https://www.webofscience.com/wos/woscc/full-record/WOS:000353061600007</t>
  </si>
  <si>
    <t>https://www.webofscience.com/wos/woscc/full-record/WOS:000225692300012</t>
  </si>
  <si>
    <t>2-hydroxyethylbenzotriazole</t>
  </si>
  <si>
    <t>OCN1N=NC2=CC=CC=C21</t>
  </si>
  <si>
    <t>N,N-dibenzotriazol-1-ylmethylamine</t>
  </si>
  <si>
    <t>N1(CNCN2N=NC3=CC=CC=C23)N=NC4=CC=CC=C41</t>
  </si>
  <si>
    <t>0.75 mM</t>
  </si>
  <si>
    <t>https://www.sciencedirect.com/science/article/pii/S0010938X11002642?via%3Dihub</t>
  </si>
  <si>
    <t>bis-(4-amino-5-mercapto-1,2,4-triazol-3-yl)-butane</t>
  </si>
  <si>
    <t>CCCC(C1=NN=C(S)N1N)C2=NN=C(S)N2N</t>
  </si>
  <si>
    <t>barbituric acid</t>
  </si>
  <si>
    <t>thiobarbituric acid</t>
  </si>
  <si>
    <t>https://www.peacta.org/articles_upload/v39n2a02_85_103.pdf</t>
  </si>
  <si>
    <t>O=C(NC(N1)=O)CC1=O</t>
  </si>
  <si>
    <t>O=C(NC(N1)=S)CC1=O</t>
  </si>
  <si>
    <t>2-imidazolidinone</t>
  </si>
  <si>
    <t>O=C1NCCN1</t>
  </si>
  <si>
    <t>https://pubs.acs.org/doi/10.1021/acs.langmuir.2c02843</t>
  </si>
  <si>
    <t>allantoin</t>
  </si>
  <si>
    <t>O=C(NC1NC(N)=O)NC1=O</t>
  </si>
  <si>
    <t>4-amino-antipyrine</t>
  </si>
  <si>
    <t>O=C1C(N)=C(C)N(C)N1C2=CC=CC=C2</t>
  </si>
  <si>
    <t>https://www.webofscience.com/wos/woscc/full-record/WOS:000301624000032</t>
  </si>
  <si>
    <t>3-mercaptopropyl-5-amino-1H-1,2,4-triazole</t>
  </si>
  <si>
    <t>3-mercaptobutyl-5-amino-1H-1,2,4-triazole</t>
  </si>
  <si>
    <t>3-mercapto(3-methylbutyl)-5-amino-1H-1,2,4-triazole</t>
  </si>
  <si>
    <t>NC1=NC(SCCC)=NN1</t>
  </si>
  <si>
    <t>NC1=NC(SCCCC)=NN1</t>
  </si>
  <si>
    <t>NC1=NC(SCC(C)C)=NN1</t>
  </si>
  <si>
    <t>https://www.mdpi.com/2076-3417/9/14/2821</t>
  </si>
  <si>
    <t>https://link.springer.com/article/10.1134/S2070205113060221</t>
  </si>
  <si>
    <t xml:space="preserve">Methionine </t>
  </si>
  <si>
    <t>O=C(CN(CCO)CCO)O</t>
  </si>
  <si>
    <t>Bicine</t>
  </si>
  <si>
    <t>OCC(CO)(NCC(O)=O)CO</t>
  </si>
  <si>
    <t>Tricine</t>
  </si>
  <si>
    <t>https://pubs.rsc.org/en/content/articlelanding/2019/ra/c9ra08617j</t>
  </si>
  <si>
    <t>https://www.nature.com/articles/s41598-019-52635-2</t>
  </si>
  <si>
    <t>OC1=CC=CC=C1C=N</t>
  </si>
  <si>
    <t>salicylaldoxime</t>
  </si>
  <si>
    <t>1,3,4-thiadiazole-2,5-dithiol</t>
  </si>
  <si>
    <t>https://ijcsi.pro/wp-content/uploads/2019/04/ijcsi-2019-v8-n2-p14-pp329-355.pdf</t>
  </si>
  <si>
    <t>IE_transform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</si>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</sst>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1" fillId="0" borderId="0" xfId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5006/05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B6C4-8322-4D6F-A8EF-513642C34987}">
  <dimension ref="A1:P260"/>
  <sheetViews>
    <sheetView tabSelected="1" topLeftCell="H249" zoomScale="130" zoomScaleNormal="130" workbookViewId="0">
      <selection activeCell="M179" sqref="M179:M260"/>
    </sheetView>
  </sheetViews>
  <sheetFormatPr defaultColWidth="8.6640625" defaultRowHeight="14.4" x14ac:dyDescent="0.3"/>
  <cols>
    <col min="1" max="1" width="16.88671875" style="1" customWidth="1"/>
    <col min="2" max="2" width="47.44140625" style="1" customWidth="1"/>
    <col min="3" max="3" width="49.109375" style="1" customWidth="1"/>
    <col min="4" max="4" width="14.109375" style="1" customWidth="1"/>
    <col min="5" max="5" width="8.6640625" style="1"/>
    <col min="6" max="6" width="15.109375" style="1" customWidth="1"/>
    <col min="7" max="10" width="12.109375" style="1" customWidth="1"/>
    <col min="11" max="11" width="8.6640625" style="1"/>
    <col min="12" max="14" width="15.6640625" style="1" customWidth="1"/>
    <col min="15" max="15" width="74.44140625" style="1" customWidth="1"/>
    <col min="16" max="16384" width="8.6640625" style="1"/>
  </cols>
  <sheetData>
    <row r="1" spans="1:16" x14ac:dyDescent="0.3">
      <c r="A1" s="1" t="s">
        <v>259</v>
      </c>
      <c r="B1" s="1" t="s">
        <v>7</v>
      </c>
      <c r="C1" s="1" t="s">
        <v>10</v>
      </c>
      <c r="D1" s="1" t="s">
        <v>8</v>
      </c>
      <c r="E1" s="1" t="s">
        <v>4</v>
      </c>
      <c r="F1" s="1" t="s">
        <v>2</v>
      </c>
      <c r="G1" s="1" t="s">
        <v>3</v>
      </c>
      <c r="H1" s="1" t="s">
        <v>14</v>
      </c>
      <c r="I1" s="1" t="s">
        <v>0</v>
      </c>
      <c r="J1" s="1" t="s">
        <v>6</v>
      </c>
      <c r="K1" s="1" t="s">
        <v>5</v>
      </c>
      <c r="L1" s="1" t="s">
        <v>653</v>
      </c>
      <c r="M1" s="1" t="s">
        <v>654</v>
      </c>
      <c r="O1" s="1" t="s">
        <v>19</v>
      </c>
      <c r="P1" s="1" t="s">
        <v>185</v>
      </c>
    </row>
    <row r="2" spans="1:16" x14ac:dyDescent="0.3">
      <c r="A2" s="1" t="s">
        <v>1</v>
      </c>
      <c r="B2" s="1" t="s">
        <v>11</v>
      </c>
      <c r="C2" s="1" t="s">
        <v>9</v>
      </c>
      <c r="D2" s="1" t="s">
        <v>12</v>
      </c>
      <c r="E2" s="1" t="s">
        <v>17</v>
      </c>
      <c r="F2" s="1" t="s">
        <v>13</v>
      </c>
      <c r="G2" s="2">
        <v>3.5000000000000003E-2</v>
      </c>
      <c r="H2" s="3">
        <v>2</v>
      </c>
      <c r="I2" s="1" t="s">
        <v>15</v>
      </c>
      <c r="J2" s="1" t="s">
        <v>16</v>
      </c>
      <c r="K2" s="1">
        <v>97.17</v>
      </c>
      <c r="L2" s="9">
        <f>K2/100</f>
        <v>0.97170000000000001</v>
      </c>
      <c r="M2" s="8">
        <f>10*LOG10(1/(1-L2))</f>
        <v>15.482135644757097</v>
      </c>
      <c r="N2" s="8"/>
      <c r="O2" s="1" t="s">
        <v>18</v>
      </c>
    </row>
    <row r="3" spans="1:16" x14ac:dyDescent="0.3">
      <c r="A3" s="1" t="s">
        <v>1</v>
      </c>
      <c r="B3" s="1" t="s">
        <v>20</v>
      </c>
      <c r="C3" s="1" t="s">
        <v>21</v>
      </c>
      <c r="D3" s="1" t="s">
        <v>22</v>
      </c>
      <c r="E3" s="1" t="s">
        <v>25</v>
      </c>
      <c r="F3" s="1" t="s">
        <v>13</v>
      </c>
      <c r="G3" s="2">
        <v>3.5000000000000003E-2</v>
      </c>
      <c r="H3" s="1">
        <v>1</v>
      </c>
      <c r="I3" s="1" t="s">
        <v>15</v>
      </c>
      <c r="J3" s="1" t="s">
        <v>24</v>
      </c>
      <c r="K3" s="1">
        <v>95.4</v>
      </c>
      <c r="L3" s="9">
        <f t="shared" ref="L3:L66" si="0">K3/100</f>
        <v>0.95400000000000007</v>
      </c>
      <c r="M3" s="8">
        <f t="shared" ref="M3:M66" si="1">10*LOG10(1/(1-L3))</f>
        <v>13.372421683184266</v>
      </c>
      <c r="N3" s="8"/>
      <c r="O3" s="1" t="s">
        <v>26</v>
      </c>
    </row>
    <row r="4" spans="1:16" x14ac:dyDescent="0.3">
      <c r="A4" s="1" t="s">
        <v>1</v>
      </c>
      <c r="B4" s="1" t="s">
        <v>27</v>
      </c>
      <c r="C4" s="1" t="s">
        <v>28</v>
      </c>
      <c r="D4" s="1" t="s">
        <v>22</v>
      </c>
      <c r="E4" s="1" t="s">
        <v>31</v>
      </c>
      <c r="F4" s="1" t="s">
        <v>13</v>
      </c>
      <c r="G4" s="2">
        <v>3.5000000000000003E-2</v>
      </c>
      <c r="H4" s="1">
        <v>0</v>
      </c>
      <c r="I4" s="1" t="s">
        <v>15</v>
      </c>
      <c r="J4" s="1" t="s">
        <v>30</v>
      </c>
      <c r="K4" s="1">
        <v>94.4</v>
      </c>
      <c r="L4" s="9">
        <f t="shared" si="0"/>
        <v>0.94400000000000006</v>
      </c>
      <c r="M4" s="8">
        <f t="shared" si="1"/>
        <v>12.518119729938</v>
      </c>
      <c r="N4" s="8"/>
      <c r="O4" s="1" t="s">
        <v>29</v>
      </c>
    </row>
    <row r="5" spans="1:16" x14ac:dyDescent="0.3">
      <c r="A5" s="1" t="s">
        <v>1</v>
      </c>
      <c r="B5" s="1" t="s">
        <v>27</v>
      </c>
      <c r="C5" s="1" t="s">
        <v>28</v>
      </c>
      <c r="D5" s="1" t="s">
        <v>22</v>
      </c>
      <c r="E5" s="1" t="s">
        <v>31</v>
      </c>
      <c r="F5" s="1" t="s">
        <v>13</v>
      </c>
      <c r="G5" s="2">
        <v>3.5000000000000003E-2</v>
      </c>
      <c r="H5" s="1">
        <v>6</v>
      </c>
      <c r="I5" s="1" t="s">
        <v>15</v>
      </c>
      <c r="J5" s="1" t="s">
        <v>120</v>
      </c>
      <c r="K5" s="1">
        <v>84.2</v>
      </c>
      <c r="L5" s="9">
        <f t="shared" si="0"/>
        <v>0.84200000000000008</v>
      </c>
      <c r="M5" s="8">
        <f t="shared" si="1"/>
        <v>8.0134291304557763</v>
      </c>
      <c r="N5" s="8"/>
      <c r="O5" s="1" t="s">
        <v>583</v>
      </c>
    </row>
    <row r="6" spans="1:16" x14ac:dyDescent="0.3">
      <c r="A6" s="1" t="s">
        <v>1</v>
      </c>
      <c r="B6" s="1" t="s">
        <v>22</v>
      </c>
      <c r="C6" s="1" t="s">
        <v>582</v>
      </c>
      <c r="D6" s="1" t="s">
        <v>22</v>
      </c>
      <c r="E6" s="1" t="s">
        <v>31</v>
      </c>
      <c r="F6" s="1" t="s">
        <v>13</v>
      </c>
      <c r="G6" s="2">
        <v>3.5000000000000003E-2</v>
      </c>
      <c r="H6" s="1">
        <v>6</v>
      </c>
      <c r="I6" s="1" t="s">
        <v>15</v>
      </c>
      <c r="J6" s="1" t="s">
        <v>120</v>
      </c>
      <c r="K6" s="1">
        <v>81.5</v>
      </c>
      <c r="L6" s="9">
        <f t="shared" si="0"/>
        <v>0.81499999999999995</v>
      </c>
      <c r="M6" s="8">
        <f t="shared" si="1"/>
        <v>7.3282827159698609</v>
      </c>
      <c r="N6" s="8"/>
      <c r="O6" s="1" t="s">
        <v>583</v>
      </c>
    </row>
    <row r="7" spans="1:16" x14ac:dyDescent="0.3">
      <c r="A7" s="1" t="s">
        <v>1</v>
      </c>
      <c r="B7" s="1" t="s">
        <v>33</v>
      </c>
      <c r="C7" s="1" t="s">
        <v>32</v>
      </c>
      <c r="D7" s="1" t="s">
        <v>22</v>
      </c>
      <c r="E7" s="1" t="s">
        <v>31</v>
      </c>
      <c r="F7" s="1" t="s">
        <v>13</v>
      </c>
      <c r="G7" s="2">
        <v>3.5000000000000003E-2</v>
      </c>
      <c r="H7" s="1">
        <v>6</v>
      </c>
      <c r="I7" s="1" t="s">
        <v>15</v>
      </c>
      <c r="J7" s="1" t="s">
        <v>120</v>
      </c>
      <c r="K7" s="1">
        <v>90.9</v>
      </c>
      <c r="L7" s="9">
        <f t="shared" si="0"/>
        <v>0.90900000000000003</v>
      </c>
      <c r="M7" s="8">
        <f t="shared" si="1"/>
        <v>10.409586076789065</v>
      </c>
      <c r="N7" s="8"/>
      <c r="O7" s="1" t="s">
        <v>583</v>
      </c>
    </row>
    <row r="8" spans="1:16" x14ac:dyDescent="0.3">
      <c r="A8" s="1" t="s">
        <v>1</v>
      </c>
      <c r="B8" s="1" t="s">
        <v>33</v>
      </c>
      <c r="C8" s="1" t="s">
        <v>32</v>
      </c>
      <c r="D8" s="1" t="s">
        <v>22</v>
      </c>
      <c r="E8" s="1" t="s">
        <v>37</v>
      </c>
      <c r="F8" s="1" t="s">
        <v>13</v>
      </c>
      <c r="G8" s="2">
        <v>3.5000000000000003E-2</v>
      </c>
      <c r="H8" s="1" t="s">
        <v>38</v>
      </c>
      <c r="I8" s="1" t="s">
        <v>15</v>
      </c>
      <c r="J8" s="1" t="s">
        <v>30</v>
      </c>
      <c r="K8" s="1">
        <v>64.7</v>
      </c>
      <c r="L8" s="9">
        <f t="shared" si="0"/>
        <v>0.64700000000000002</v>
      </c>
      <c r="M8" s="8">
        <f t="shared" si="1"/>
        <v>4.5222529461217746</v>
      </c>
      <c r="N8" s="8"/>
      <c r="O8" s="1" t="s">
        <v>34</v>
      </c>
    </row>
    <row r="9" spans="1:16" x14ac:dyDescent="0.3">
      <c r="A9" s="1" t="s">
        <v>1</v>
      </c>
      <c r="B9" s="1" t="s">
        <v>35</v>
      </c>
      <c r="C9" s="1" t="s">
        <v>36</v>
      </c>
      <c r="D9" s="1" t="s">
        <v>22</v>
      </c>
      <c r="E9" s="1" t="s">
        <v>37</v>
      </c>
      <c r="F9" s="1" t="s">
        <v>13</v>
      </c>
      <c r="G9" s="2">
        <v>3.5000000000000003E-2</v>
      </c>
      <c r="H9" s="1" t="s">
        <v>38</v>
      </c>
      <c r="I9" s="1" t="s">
        <v>15</v>
      </c>
      <c r="J9" s="1">
        <v>30</v>
      </c>
      <c r="K9" s="1">
        <v>73.5</v>
      </c>
      <c r="L9" s="9">
        <f t="shared" si="0"/>
        <v>0.73499999999999999</v>
      </c>
      <c r="M9" s="8">
        <f t="shared" si="1"/>
        <v>5.767541260631921</v>
      </c>
      <c r="N9" s="8"/>
      <c r="O9" s="1" t="s">
        <v>34</v>
      </c>
    </row>
    <row r="10" spans="1:16" x14ac:dyDescent="0.3">
      <c r="A10" s="1" t="s">
        <v>1</v>
      </c>
      <c r="B10" s="1" t="s">
        <v>39</v>
      </c>
      <c r="C10" s="1" t="s">
        <v>40</v>
      </c>
      <c r="D10" s="1" t="s">
        <v>22</v>
      </c>
      <c r="E10" s="1" t="s">
        <v>31</v>
      </c>
      <c r="F10" s="1" t="s">
        <v>13</v>
      </c>
      <c r="G10" s="2">
        <v>3.5000000000000003E-2</v>
      </c>
      <c r="H10" s="1">
        <v>0</v>
      </c>
      <c r="I10" s="1" t="s">
        <v>15</v>
      </c>
      <c r="J10" s="1" t="s">
        <v>30</v>
      </c>
      <c r="K10" s="1">
        <v>79</v>
      </c>
      <c r="L10" s="9">
        <f t="shared" si="0"/>
        <v>0.79</v>
      </c>
      <c r="M10" s="8">
        <f t="shared" si="1"/>
        <v>6.7778070526608083</v>
      </c>
      <c r="N10" s="8"/>
      <c r="O10" s="1" t="s">
        <v>41</v>
      </c>
    </row>
    <row r="11" spans="1:16" x14ac:dyDescent="0.3">
      <c r="A11" s="1" t="s">
        <v>1</v>
      </c>
      <c r="B11" s="1" t="s">
        <v>43</v>
      </c>
      <c r="C11" s="1" t="s">
        <v>42</v>
      </c>
      <c r="D11" s="1" t="s">
        <v>44</v>
      </c>
      <c r="E11" s="1" t="s">
        <v>31</v>
      </c>
      <c r="F11" s="1" t="s">
        <v>13</v>
      </c>
      <c r="G11" s="2">
        <v>3.5000000000000003E-2</v>
      </c>
      <c r="H11" s="1">
        <v>1</v>
      </c>
      <c r="I11" s="1" t="s">
        <v>15</v>
      </c>
      <c r="J11" s="1" t="s">
        <v>45</v>
      </c>
      <c r="K11" s="1">
        <v>92.8</v>
      </c>
      <c r="L11" s="9">
        <f t="shared" si="0"/>
        <v>0.92799999999999994</v>
      </c>
      <c r="M11" s="8">
        <f t="shared" si="1"/>
        <v>11.426675035687312</v>
      </c>
      <c r="N11" s="8"/>
      <c r="O11" s="1" t="s">
        <v>46</v>
      </c>
    </row>
    <row r="12" spans="1:16" x14ac:dyDescent="0.3">
      <c r="A12" s="1" t="s">
        <v>1</v>
      </c>
      <c r="B12" s="1" t="s">
        <v>47</v>
      </c>
      <c r="C12" s="1" t="s">
        <v>48</v>
      </c>
      <c r="D12" s="1" t="s">
        <v>49</v>
      </c>
      <c r="E12" s="1" t="s">
        <v>51</v>
      </c>
      <c r="F12" s="1" t="s">
        <v>13</v>
      </c>
      <c r="G12" s="2">
        <v>3.5000000000000003E-2</v>
      </c>
      <c r="H12" s="1">
        <v>1</v>
      </c>
      <c r="I12" s="1" t="s">
        <v>15</v>
      </c>
      <c r="J12" s="1" t="s">
        <v>30</v>
      </c>
      <c r="K12" s="1">
        <v>93.1</v>
      </c>
      <c r="L12" s="9">
        <f t="shared" si="0"/>
        <v>0.93099999999999994</v>
      </c>
      <c r="M12" s="8">
        <f t="shared" si="1"/>
        <v>11.611509092627443</v>
      </c>
      <c r="N12" s="8"/>
      <c r="O12" s="1" t="s">
        <v>50</v>
      </c>
    </row>
    <row r="13" spans="1:16" x14ac:dyDescent="0.3">
      <c r="A13" s="1" t="s">
        <v>1</v>
      </c>
      <c r="B13" s="1" t="s">
        <v>54</v>
      </c>
      <c r="C13" s="1" t="s">
        <v>52</v>
      </c>
      <c r="D13" s="1" t="s">
        <v>49</v>
      </c>
      <c r="E13" s="1" t="s">
        <v>51</v>
      </c>
      <c r="F13" s="1" t="s">
        <v>13</v>
      </c>
      <c r="G13" s="2">
        <v>3.5000000000000003E-2</v>
      </c>
      <c r="H13" s="1">
        <v>1</v>
      </c>
      <c r="I13" s="1" t="s">
        <v>15</v>
      </c>
      <c r="J13" s="1" t="s">
        <v>30</v>
      </c>
      <c r="K13" s="1">
        <v>94.3</v>
      </c>
      <c r="L13" s="9">
        <f t="shared" si="0"/>
        <v>0.94299999999999995</v>
      </c>
      <c r="M13" s="8">
        <f t="shared" si="1"/>
        <v>12.441251443275082</v>
      </c>
      <c r="N13" s="8"/>
      <c r="O13" s="1" t="s">
        <v>50</v>
      </c>
    </row>
    <row r="14" spans="1:16" x14ac:dyDescent="0.3">
      <c r="A14" s="1" t="s">
        <v>1</v>
      </c>
      <c r="B14" s="1" t="s">
        <v>58</v>
      </c>
      <c r="C14" s="1" t="s">
        <v>57</v>
      </c>
      <c r="D14" s="1" t="s">
        <v>58</v>
      </c>
      <c r="E14" s="1" t="s">
        <v>61</v>
      </c>
      <c r="F14" s="1" t="s">
        <v>13</v>
      </c>
      <c r="G14" s="4">
        <v>0.03</v>
      </c>
      <c r="H14" s="1">
        <v>0.5</v>
      </c>
      <c r="I14" s="1" t="s">
        <v>15</v>
      </c>
      <c r="J14" s="1" t="s">
        <v>45</v>
      </c>
      <c r="K14" s="1">
        <v>93.4</v>
      </c>
      <c r="L14" s="9">
        <f t="shared" si="0"/>
        <v>0.93400000000000005</v>
      </c>
      <c r="M14" s="8">
        <f t="shared" si="1"/>
        <v>11.804560644581317</v>
      </c>
      <c r="N14" s="8"/>
      <c r="O14" s="1" t="s">
        <v>56</v>
      </c>
    </row>
    <row r="15" spans="1:16" x14ac:dyDescent="0.3">
      <c r="A15" s="1" t="s">
        <v>1</v>
      </c>
      <c r="B15" s="1" t="s">
        <v>60</v>
      </c>
      <c r="C15" s="1" t="s">
        <v>59</v>
      </c>
      <c r="D15" s="1" t="s">
        <v>58</v>
      </c>
      <c r="E15" s="1" t="s">
        <v>61</v>
      </c>
      <c r="F15" s="1" t="s">
        <v>13</v>
      </c>
      <c r="G15" s="4">
        <v>0.03</v>
      </c>
      <c r="H15" s="1">
        <v>0.5</v>
      </c>
      <c r="I15" s="1" t="s">
        <v>15</v>
      </c>
      <c r="J15" s="1" t="s">
        <v>45</v>
      </c>
      <c r="K15" s="1">
        <v>95.2</v>
      </c>
      <c r="L15" s="9">
        <f t="shared" si="0"/>
        <v>0.95200000000000007</v>
      </c>
      <c r="M15" s="8">
        <f t="shared" si="1"/>
        <v>13.187587626244134</v>
      </c>
      <c r="N15" s="8"/>
      <c r="O15" s="1" t="s">
        <v>56</v>
      </c>
    </row>
    <row r="16" spans="1:16" x14ac:dyDescent="0.3">
      <c r="A16" s="1" t="s">
        <v>1</v>
      </c>
      <c r="B16" s="1" t="s">
        <v>63</v>
      </c>
      <c r="C16" s="1" t="s">
        <v>64</v>
      </c>
      <c r="D16" s="1" t="s">
        <v>12</v>
      </c>
      <c r="E16" s="1" t="s">
        <v>31</v>
      </c>
      <c r="F16" s="1" t="s">
        <v>13</v>
      </c>
      <c r="G16" s="4">
        <v>0.03</v>
      </c>
      <c r="H16" s="1">
        <v>1</v>
      </c>
      <c r="I16" s="1" t="s">
        <v>15</v>
      </c>
      <c r="J16" s="1" t="s">
        <v>30</v>
      </c>
      <c r="K16" s="1">
        <v>66</v>
      </c>
      <c r="L16" s="9">
        <f t="shared" si="0"/>
        <v>0.66</v>
      </c>
      <c r="M16" s="8">
        <f t="shared" si="1"/>
        <v>4.6852108295774491</v>
      </c>
      <c r="N16" s="8"/>
      <c r="O16" s="1" t="s">
        <v>62</v>
      </c>
    </row>
    <row r="17" spans="1:15" x14ac:dyDescent="0.3">
      <c r="A17" s="1" t="s">
        <v>1</v>
      </c>
      <c r="B17" s="1" t="s">
        <v>65</v>
      </c>
      <c r="C17" s="1" t="s">
        <v>66</v>
      </c>
      <c r="D17" s="1" t="s">
        <v>12</v>
      </c>
      <c r="E17" s="1" t="s">
        <v>31</v>
      </c>
      <c r="F17" s="1" t="s">
        <v>13</v>
      </c>
      <c r="G17" s="4">
        <v>0.03</v>
      </c>
      <c r="H17" s="1">
        <v>1</v>
      </c>
      <c r="I17" s="1" t="s">
        <v>15</v>
      </c>
      <c r="J17" s="1" t="s">
        <v>30</v>
      </c>
      <c r="K17" s="1">
        <v>56</v>
      </c>
      <c r="L17" s="9">
        <f t="shared" si="0"/>
        <v>0.56000000000000005</v>
      </c>
      <c r="M17" s="8">
        <f t="shared" si="1"/>
        <v>3.5654732351381262</v>
      </c>
      <c r="N17" s="8"/>
      <c r="O17" s="1" t="s">
        <v>62</v>
      </c>
    </row>
    <row r="18" spans="1:15" x14ac:dyDescent="0.3">
      <c r="A18" s="1" t="s">
        <v>1</v>
      </c>
      <c r="B18" s="1" t="s">
        <v>68</v>
      </c>
      <c r="C18" s="1" t="s">
        <v>67</v>
      </c>
      <c r="D18" s="1" t="s">
        <v>12</v>
      </c>
      <c r="E18" s="1" t="s">
        <v>31</v>
      </c>
      <c r="F18" s="1" t="s">
        <v>13</v>
      </c>
      <c r="G18" s="4">
        <v>0.03</v>
      </c>
      <c r="H18" s="1">
        <v>1</v>
      </c>
      <c r="I18" s="1" t="s">
        <v>15</v>
      </c>
      <c r="J18" s="1" t="s">
        <v>30</v>
      </c>
      <c r="K18" s="1">
        <v>90</v>
      </c>
      <c r="L18" s="9">
        <f t="shared" si="0"/>
        <v>0.9</v>
      </c>
      <c r="M18" s="8">
        <f t="shared" si="1"/>
        <v>10</v>
      </c>
      <c r="N18" s="8"/>
      <c r="O18" s="1" t="s">
        <v>62</v>
      </c>
    </row>
    <row r="19" spans="1:15" x14ac:dyDescent="0.3">
      <c r="A19" s="1" t="s">
        <v>1</v>
      </c>
      <c r="B19" s="1" t="s">
        <v>69</v>
      </c>
      <c r="C19" s="1" t="s">
        <v>70</v>
      </c>
      <c r="D19" s="1" t="s">
        <v>12</v>
      </c>
      <c r="E19" s="1" t="s">
        <v>31</v>
      </c>
      <c r="F19" s="1" t="s">
        <v>13</v>
      </c>
      <c r="G19" s="4">
        <v>0.03</v>
      </c>
      <c r="H19" s="1">
        <v>1</v>
      </c>
      <c r="I19" s="1" t="s">
        <v>15</v>
      </c>
      <c r="J19" s="1" t="s">
        <v>30</v>
      </c>
      <c r="K19" s="1">
        <v>74</v>
      </c>
      <c r="L19" s="9">
        <f t="shared" si="0"/>
        <v>0.74</v>
      </c>
      <c r="M19" s="8">
        <f t="shared" si="1"/>
        <v>5.8502665202918198</v>
      </c>
      <c r="N19" s="8"/>
      <c r="O19" s="1" t="s">
        <v>62</v>
      </c>
    </row>
    <row r="20" spans="1:15" x14ac:dyDescent="0.3">
      <c r="A20" s="1" t="s">
        <v>1</v>
      </c>
      <c r="B20" s="1" t="s">
        <v>200</v>
      </c>
      <c r="C20" s="1" t="s">
        <v>71</v>
      </c>
      <c r="D20" s="1" t="s">
        <v>12</v>
      </c>
      <c r="E20" s="1" t="s">
        <v>31</v>
      </c>
      <c r="F20" s="1" t="s">
        <v>13</v>
      </c>
      <c r="G20" s="4">
        <v>0.03</v>
      </c>
      <c r="H20" s="1">
        <v>1</v>
      </c>
      <c r="I20" s="1" t="s">
        <v>15</v>
      </c>
      <c r="J20" s="1" t="s">
        <v>30</v>
      </c>
      <c r="K20" s="1">
        <v>93</v>
      </c>
      <c r="L20" s="9">
        <f t="shared" si="0"/>
        <v>0.93</v>
      </c>
      <c r="M20" s="8">
        <f t="shared" si="1"/>
        <v>11.549019599857434</v>
      </c>
      <c r="N20" s="8"/>
      <c r="O20" s="1" t="s">
        <v>62</v>
      </c>
    </row>
    <row r="21" spans="1:15" x14ac:dyDescent="0.3">
      <c r="A21" s="1" t="s">
        <v>1</v>
      </c>
      <c r="B21" s="1" t="s">
        <v>73</v>
      </c>
      <c r="C21" s="1" t="s">
        <v>75</v>
      </c>
      <c r="D21" s="1" t="s">
        <v>77</v>
      </c>
      <c r="E21" s="1" t="s">
        <v>79</v>
      </c>
      <c r="F21" s="1" t="s">
        <v>13</v>
      </c>
      <c r="G21" s="4">
        <v>0.03</v>
      </c>
      <c r="H21" s="1" t="s">
        <v>38</v>
      </c>
      <c r="I21" s="1" t="s">
        <v>78</v>
      </c>
      <c r="J21" s="1" t="s">
        <v>45</v>
      </c>
      <c r="K21" s="1">
        <v>96.3</v>
      </c>
      <c r="L21" s="9">
        <f t="shared" si="0"/>
        <v>0.96299999999999997</v>
      </c>
      <c r="M21" s="8">
        <f t="shared" si="1"/>
        <v>14.317982759330047</v>
      </c>
      <c r="N21" s="8"/>
      <c r="O21" s="1" t="s">
        <v>81</v>
      </c>
    </row>
    <row r="22" spans="1:15" x14ac:dyDescent="0.3">
      <c r="A22" s="1" t="s">
        <v>1</v>
      </c>
      <c r="B22" s="1" t="s">
        <v>74</v>
      </c>
      <c r="C22" s="1" t="s">
        <v>76</v>
      </c>
      <c r="D22" s="1" t="s">
        <v>77</v>
      </c>
      <c r="E22" s="1" t="s">
        <v>80</v>
      </c>
      <c r="F22" s="1" t="s">
        <v>13</v>
      </c>
      <c r="G22" s="4">
        <v>0.03</v>
      </c>
      <c r="H22" s="1" t="s">
        <v>38</v>
      </c>
      <c r="I22" s="1" t="s">
        <v>78</v>
      </c>
      <c r="J22" s="1" t="s">
        <v>45</v>
      </c>
      <c r="K22" s="1">
        <v>98.4</v>
      </c>
      <c r="L22" s="9">
        <f t="shared" si="0"/>
        <v>0.9840000000000001</v>
      </c>
      <c r="M22" s="8">
        <f t="shared" si="1"/>
        <v>17.958800173440778</v>
      </c>
      <c r="N22" s="8"/>
      <c r="O22" s="1" t="s">
        <v>81</v>
      </c>
    </row>
    <row r="23" spans="1:15" x14ac:dyDescent="0.3">
      <c r="A23" s="1" t="s">
        <v>1</v>
      </c>
      <c r="B23" s="1" t="s">
        <v>84</v>
      </c>
      <c r="C23" s="1" t="s">
        <v>83</v>
      </c>
      <c r="D23" s="1" t="s">
        <v>85</v>
      </c>
      <c r="E23" s="1" t="s">
        <v>31</v>
      </c>
      <c r="F23" s="1" t="s">
        <v>13</v>
      </c>
      <c r="G23" s="2">
        <v>3.5000000000000003E-2</v>
      </c>
      <c r="H23" s="1">
        <v>1</v>
      </c>
      <c r="I23" s="1" t="s">
        <v>15</v>
      </c>
      <c r="J23" s="1">
        <v>35</v>
      </c>
      <c r="K23" s="1">
        <v>99.9</v>
      </c>
      <c r="L23" s="9">
        <f t="shared" si="0"/>
        <v>0.99900000000000011</v>
      </c>
      <c r="M23" s="8">
        <f t="shared" si="1"/>
        <v>30.00000000000048</v>
      </c>
      <c r="N23" s="8"/>
      <c r="O23" s="1" t="s">
        <v>82</v>
      </c>
    </row>
    <row r="24" spans="1:15" x14ac:dyDescent="0.3">
      <c r="A24" s="1" t="s">
        <v>1</v>
      </c>
      <c r="B24" s="1" t="s">
        <v>86</v>
      </c>
      <c r="C24" s="1" t="s">
        <v>87</v>
      </c>
      <c r="D24" s="1" t="s">
        <v>85</v>
      </c>
      <c r="E24" s="1" t="s">
        <v>96</v>
      </c>
      <c r="F24" s="1" t="s">
        <v>13</v>
      </c>
      <c r="G24" s="2">
        <v>3.5000000000000003E-2</v>
      </c>
      <c r="H24" s="1">
        <v>1</v>
      </c>
      <c r="I24" s="1" t="s">
        <v>15</v>
      </c>
      <c r="J24" s="1">
        <v>35</v>
      </c>
      <c r="K24" s="1">
        <v>99.8</v>
      </c>
      <c r="L24" s="9">
        <f t="shared" si="0"/>
        <v>0.998</v>
      </c>
      <c r="M24" s="8">
        <f t="shared" si="1"/>
        <v>26.989700043360184</v>
      </c>
      <c r="N24" s="8"/>
      <c r="O24" s="1" t="s">
        <v>82</v>
      </c>
    </row>
    <row r="25" spans="1:15" x14ac:dyDescent="0.3">
      <c r="A25" s="1" t="s">
        <v>1</v>
      </c>
      <c r="B25" s="1" t="s">
        <v>89</v>
      </c>
      <c r="C25" s="1" t="s">
        <v>88</v>
      </c>
      <c r="D25" s="1" t="s">
        <v>90</v>
      </c>
      <c r="E25" s="1" t="s">
        <v>31</v>
      </c>
      <c r="F25" s="1" t="s">
        <v>13</v>
      </c>
      <c r="G25" s="2">
        <v>3.5000000000000003E-2</v>
      </c>
      <c r="H25" s="1">
        <v>1</v>
      </c>
      <c r="I25" s="1" t="s">
        <v>15</v>
      </c>
      <c r="J25" s="1">
        <v>35</v>
      </c>
      <c r="K25" s="1">
        <v>99.2</v>
      </c>
      <c r="L25" s="9">
        <f t="shared" si="0"/>
        <v>0.99199999999999999</v>
      </c>
      <c r="M25" s="8">
        <f t="shared" si="1"/>
        <v>20.969100130080562</v>
      </c>
      <c r="N25" s="8"/>
      <c r="O25" s="1" t="s">
        <v>82</v>
      </c>
    </row>
    <row r="26" spans="1:15" x14ac:dyDescent="0.3">
      <c r="A26" s="1" t="s">
        <v>1</v>
      </c>
      <c r="B26" s="1" t="s">
        <v>91</v>
      </c>
      <c r="C26" s="1" t="s">
        <v>92</v>
      </c>
      <c r="D26" s="1" t="s">
        <v>90</v>
      </c>
      <c r="E26" s="1" t="s">
        <v>31</v>
      </c>
      <c r="F26" s="1" t="s">
        <v>13</v>
      </c>
      <c r="G26" s="2">
        <v>3.5000000000000003E-2</v>
      </c>
      <c r="H26" s="1">
        <v>1</v>
      </c>
      <c r="I26" s="1" t="s">
        <v>15</v>
      </c>
      <c r="J26" s="1">
        <v>35</v>
      </c>
      <c r="K26" s="1">
        <v>98.4</v>
      </c>
      <c r="L26" s="9">
        <f t="shared" si="0"/>
        <v>0.9840000000000001</v>
      </c>
      <c r="M26" s="8">
        <f t="shared" si="1"/>
        <v>17.958800173440778</v>
      </c>
      <c r="N26" s="8"/>
      <c r="O26" s="1" t="s">
        <v>82</v>
      </c>
    </row>
    <row r="27" spans="1:15" x14ac:dyDescent="0.3">
      <c r="A27" s="1" t="s">
        <v>1</v>
      </c>
      <c r="B27" s="1" t="s">
        <v>93</v>
      </c>
      <c r="C27" s="1" t="s">
        <v>53</v>
      </c>
      <c r="D27" s="1" t="s">
        <v>49</v>
      </c>
      <c r="E27" s="1" t="s">
        <v>31</v>
      </c>
      <c r="F27" s="1" t="s">
        <v>13</v>
      </c>
      <c r="G27" s="2">
        <v>3.5000000000000003E-2</v>
      </c>
      <c r="H27" s="1">
        <v>1</v>
      </c>
      <c r="I27" s="1" t="s">
        <v>15</v>
      </c>
      <c r="J27" s="1">
        <v>35</v>
      </c>
      <c r="K27" s="1">
        <v>87.4</v>
      </c>
      <c r="L27" s="9">
        <f t="shared" si="0"/>
        <v>0.87400000000000011</v>
      </c>
      <c r="M27" s="8">
        <f t="shared" si="1"/>
        <v>8.9962945488243751</v>
      </c>
      <c r="N27" s="8"/>
      <c r="O27" s="1" t="s">
        <v>82</v>
      </c>
    </row>
    <row r="28" spans="1:15" x14ac:dyDescent="0.3">
      <c r="A28" s="1" t="s">
        <v>1</v>
      </c>
      <c r="B28" s="1" t="s">
        <v>94</v>
      </c>
      <c r="C28" s="1" t="s">
        <v>95</v>
      </c>
      <c r="D28" s="1" t="s">
        <v>49</v>
      </c>
      <c r="E28" s="1" t="s">
        <v>31</v>
      </c>
      <c r="F28" s="1" t="s">
        <v>13</v>
      </c>
      <c r="G28" s="2">
        <v>3.5000000000000003E-2</v>
      </c>
      <c r="H28" s="1">
        <v>1</v>
      </c>
      <c r="I28" s="1" t="s">
        <v>15</v>
      </c>
      <c r="J28" s="1">
        <v>35</v>
      </c>
      <c r="K28" s="1">
        <v>89.6</v>
      </c>
      <c r="L28" s="9">
        <f t="shared" si="0"/>
        <v>0.89599999999999991</v>
      </c>
      <c r="M28" s="8">
        <f t="shared" si="1"/>
        <v>9.8296666070121912</v>
      </c>
      <c r="N28" s="8"/>
      <c r="O28" s="1" t="s">
        <v>82</v>
      </c>
    </row>
    <row r="29" spans="1:15" x14ac:dyDescent="0.3">
      <c r="A29" s="1" t="s">
        <v>1</v>
      </c>
      <c r="B29" s="1" t="s">
        <v>98</v>
      </c>
      <c r="C29" s="1" t="s">
        <v>99</v>
      </c>
      <c r="D29" s="1" t="s">
        <v>85</v>
      </c>
      <c r="E29" s="1" t="s">
        <v>100</v>
      </c>
      <c r="F29" s="1" t="s">
        <v>13</v>
      </c>
      <c r="G29" s="2">
        <v>3.5000000000000003E-2</v>
      </c>
      <c r="H29" s="1" t="s">
        <v>38</v>
      </c>
      <c r="I29" s="1" t="s">
        <v>15</v>
      </c>
      <c r="J29" s="1" t="s">
        <v>38</v>
      </c>
      <c r="K29" s="1">
        <v>97.5</v>
      </c>
      <c r="L29" s="9">
        <f t="shared" si="0"/>
        <v>0.97499999999999998</v>
      </c>
      <c r="M29" s="8">
        <f t="shared" si="1"/>
        <v>16.020599913279622</v>
      </c>
      <c r="N29" s="8"/>
      <c r="O29" s="1" t="s">
        <v>97</v>
      </c>
    </row>
    <row r="30" spans="1:15" x14ac:dyDescent="0.3">
      <c r="A30" s="1" t="s">
        <v>1</v>
      </c>
      <c r="B30" s="1" t="s">
        <v>102</v>
      </c>
      <c r="C30" s="1" t="s">
        <v>101</v>
      </c>
      <c r="D30" s="1" t="s">
        <v>85</v>
      </c>
      <c r="E30" s="1" t="s">
        <v>100</v>
      </c>
      <c r="F30" s="1" t="s">
        <v>13</v>
      </c>
      <c r="G30" s="2">
        <v>3.5000000000000003E-2</v>
      </c>
      <c r="H30" s="1" t="s">
        <v>38</v>
      </c>
      <c r="I30" s="1" t="s">
        <v>15</v>
      </c>
      <c r="J30" s="1" t="s">
        <v>38</v>
      </c>
      <c r="K30" s="1">
        <v>97.1</v>
      </c>
      <c r="L30" s="9">
        <f t="shared" si="0"/>
        <v>0.97099999999999997</v>
      </c>
      <c r="M30" s="8">
        <f t="shared" si="1"/>
        <v>15.376020021010435</v>
      </c>
      <c r="N30" s="8"/>
      <c r="O30" s="1" t="s">
        <v>97</v>
      </c>
    </row>
    <row r="31" spans="1:15" x14ac:dyDescent="0.3">
      <c r="A31" s="1" t="s">
        <v>1</v>
      </c>
      <c r="B31" s="1" t="s">
        <v>104</v>
      </c>
      <c r="C31" s="1" t="s">
        <v>103</v>
      </c>
      <c r="D31" s="1" t="s">
        <v>12</v>
      </c>
      <c r="E31" s="1" t="s">
        <v>37</v>
      </c>
      <c r="F31" s="1" t="s">
        <v>13</v>
      </c>
      <c r="G31" s="2">
        <v>3.5000000000000003E-2</v>
      </c>
      <c r="H31" s="1" t="s">
        <v>38</v>
      </c>
      <c r="I31" s="1" t="s">
        <v>15</v>
      </c>
      <c r="J31" s="1" t="s">
        <v>38</v>
      </c>
      <c r="K31" s="1">
        <v>71.2</v>
      </c>
      <c r="L31" s="9">
        <f t="shared" si="0"/>
        <v>0.71200000000000008</v>
      </c>
      <c r="M31" s="8">
        <f t="shared" si="1"/>
        <v>5.4060751224076933</v>
      </c>
      <c r="N31" s="8"/>
      <c r="O31" s="1" t="s">
        <v>97</v>
      </c>
    </row>
    <row r="32" spans="1:15" x14ac:dyDescent="0.3">
      <c r="A32" s="1" t="s">
        <v>1</v>
      </c>
      <c r="B32" s="1" t="s">
        <v>106</v>
      </c>
      <c r="C32" s="1" t="s">
        <v>105</v>
      </c>
      <c r="D32" s="1" t="s">
        <v>209</v>
      </c>
      <c r="E32" s="1" t="s">
        <v>31</v>
      </c>
      <c r="F32" s="1" t="s">
        <v>13</v>
      </c>
      <c r="G32" s="2">
        <v>3.5000000000000003E-2</v>
      </c>
      <c r="H32" s="1" t="s">
        <v>38</v>
      </c>
      <c r="I32" s="1" t="s">
        <v>15</v>
      </c>
      <c r="J32" s="1" t="s">
        <v>38</v>
      </c>
      <c r="K32" s="1">
        <v>80.5</v>
      </c>
      <c r="L32" s="9">
        <f t="shared" si="0"/>
        <v>0.80500000000000005</v>
      </c>
      <c r="M32" s="8">
        <f t="shared" si="1"/>
        <v>7.0996538863748215</v>
      </c>
      <c r="N32" s="8"/>
      <c r="O32" s="1" t="s">
        <v>97</v>
      </c>
    </row>
    <row r="33" spans="1:15" x14ac:dyDescent="0.3">
      <c r="A33" s="1" t="s">
        <v>1</v>
      </c>
      <c r="B33" s="1" t="s">
        <v>108</v>
      </c>
      <c r="C33" s="1" t="s">
        <v>107</v>
      </c>
      <c r="D33" s="1" t="s">
        <v>108</v>
      </c>
      <c r="E33" s="1" t="s">
        <v>31</v>
      </c>
      <c r="F33" s="1" t="s">
        <v>13</v>
      </c>
      <c r="G33" s="4">
        <v>0.03</v>
      </c>
      <c r="H33" s="1" t="s">
        <v>38</v>
      </c>
      <c r="I33" s="1" t="s">
        <v>15</v>
      </c>
      <c r="J33" s="1" t="s">
        <v>120</v>
      </c>
      <c r="K33" s="1">
        <v>39.200000000000003</v>
      </c>
      <c r="L33" s="9">
        <f t="shared" si="0"/>
        <v>0.39200000000000002</v>
      </c>
      <c r="M33" s="8">
        <f t="shared" si="1"/>
        <v>2.1609642072726509</v>
      </c>
      <c r="N33" s="8"/>
      <c r="O33" s="1" t="s">
        <v>126</v>
      </c>
    </row>
    <row r="34" spans="1:15" x14ac:dyDescent="0.3">
      <c r="A34" s="1" t="s">
        <v>1</v>
      </c>
      <c r="B34" s="1" t="s">
        <v>110</v>
      </c>
      <c r="C34" s="1" t="s">
        <v>111</v>
      </c>
      <c r="D34" s="1" t="s">
        <v>108</v>
      </c>
      <c r="E34" s="1" t="s">
        <v>31</v>
      </c>
      <c r="F34" s="1" t="s">
        <v>13</v>
      </c>
      <c r="G34" s="4">
        <v>0.03</v>
      </c>
      <c r="H34" s="1" t="s">
        <v>38</v>
      </c>
      <c r="I34" s="1" t="s">
        <v>15</v>
      </c>
      <c r="J34" s="1" t="s">
        <v>121</v>
      </c>
      <c r="K34" s="1">
        <v>22.5</v>
      </c>
      <c r="L34" s="9">
        <f t="shared" si="0"/>
        <v>0.22500000000000001</v>
      </c>
      <c r="M34" s="8">
        <f t="shared" si="1"/>
        <v>1.1069829749368969</v>
      </c>
      <c r="N34" s="8"/>
      <c r="O34" s="1" t="s">
        <v>126</v>
      </c>
    </row>
    <row r="35" spans="1:15" x14ac:dyDescent="0.3">
      <c r="A35" s="1" t="s">
        <v>1</v>
      </c>
      <c r="B35" s="1" t="s">
        <v>112</v>
      </c>
      <c r="C35" s="1" t="s">
        <v>113</v>
      </c>
      <c r="D35" s="1" t="s">
        <v>108</v>
      </c>
      <c r="E35" s="1" t="s">
        <v>31</v>
      </c>
      <c r="F35" s="1" t="s">
        <v>13</v>
      </c>
      <c r="G35" s="4">
        <v>0.03</v>
      </c>
      <c r="H35" s="1" t="s">
        <v>38</v>
      </c>
      <c r="I35" s="1" t="s">
        <v>15</v>
      </c>
      <c r="J35" s="1" t="s">
        <v>122</v>
      </c>
      <c r="K35" s="1">
        <v>0.1</v>
      </c>
      <c r="L35" s="9">
        <f t="shared" si="0"/>
        <v>1E-3</v>
      </c>
      <c r="M35" s="8">
        <f t="shared" si="1"/>
        <v>4.345117740177297E-3</v>
      </c>
      <c r="N35" s="8"/>
      <c r="O35" s="1" t="s">
        <v>126</v>
      </c>
    </row>
    <row r="36" spans="1:15" x14ac:dyDescent="0.3">
      <c r="A36" s="1" t="s">
        <v>1</v>
      </c>
      <c r="B36" s="1" t="s">
        <v>114</v>
      </c>
      <c r="C36" s="1" t="s">
        <v>115</v>
      </c>
      <c r="D36" s="1" t="s">
        <v>108</v>
      </c>
      <c r="E36" s="1" t="s">
        <v>31</v>
      </c>
      <c r="F36" s="1" t="s">
        <v>13</v>
      </c>
      <c r="G36" s="4">
        <v>0.03</v>
      </c>
      <c r="H36" s="1" t="s">
        <v>38</v>
      </c>
      <c r="I36" s="1" t="s">
        <v>15</v>
      </c>
      <c r="J36" s="1" t="s">
        <v>123</v>
      </c>
      <c r="K36" s="1">
        <v>44.1</v>
      </c>
      <c r="L36" s="9">
        <f t="shared" si="0"/>
        <v>0.441</v>
      </c>
      <c r="M36" s="8">
        <f t="shared" si="1"/>
        <v>2.5258819211357677</v>
      </c>
      <c r="N36" s="8"/>
      <c r="O36" s="1" t="s">
        <v>126</v>
      </c>
    </row>
    <row r="37" spans="1:15" x14ac:dyDescent="0.3">
      <c r="A37" s="1" t="s">
        <v>1</v>
      </c>
      <c r="B37" s="1" t="s">
        <v>117</v>
      </c>
      <c r="C37" s="1" t="s">
        <v>116</v>
      </c>
      <c r="D37" s="1" t="s">
        <v>108</v>
      </c>
      <c r="E37" s="1" t="s">
        <v>31</v>
      </c>
      <c r="F37" s="1" t="s">
        <v>13</v>
      </c>
      <c r="G37" s="4">
        <v>0.03</v>
      </c>
      <c r="H37" s="1" t="s">
        <v>38</v>
      </c>
      <c r="I37" s="1" t="s">
        <v>15</v>
      </c>
      <c r="J37" s="1" t="s">
        <v>124</v>
      </c>
      <c r="K37" s="1">
        <v>82</v>
      </c>
      <c r="L37" s="9">
        <f t="shared" si="0"/>
        <v>0.82</v>
      </c>
      <c r="M37" s="8">
        <f t="shared" si="1"/>
        <v>7.447274948966939</v>
      </c>
      <c r="N37" s="8"/>
      <c r="O37" s="1" t="s">
        <v>126</v>
      </c>
    </row>
    <row r="38" spans="1:15" x14ac:dyDescent="0.3">
      <c r="A38" s="1" t="s">
        <v>1</v>
      </c>
      <c r="B38" s="1" t="s">
        <v>119</v>
      </c>
      <c r="C38" s="1" t="s">
        <v>118</v>
      </c>
      <c r="D38" s="1" t="s">
        <v>108</v>
      </c>
      <c r="E38" s="1" t="s">
        <v>31</v>
      </c>
      <c r="F38" s="1" t="s">
        <v>13</v>
      </c>
      <c r="G38" s="4">
        <v>0.03</v>
      </c>
      <c r="H38" s="1" t="s">
        <v>38</v>
      </c>
      <c r="I38" s="1" t="s">
        <v>15</v>
      </c>
      <c r="J38" s="1" t="s">
        <v>125</v>
      </c>
      <c r="K38" s="1">
        <v>95.4</v>
      </c>
      <c r="L38" s="9">
        <f t="shared" si="0"/>
        <v>0.95400000000000007</v>
      </c>
      <c r="M38" s="8">
        <f t="shared" si="1"/>
        <v>13.372421683184266</v>
      </c>
      <c r="N38" s="8"/>
      <c r="O38" s="1" t="s">
        <v>126</v>
      </c>
    </row>
    <row r="39" spans="1:15" x14ac:dyDescent="0.3">
      <c r="A39" s="1" t="s">
        <v>1</v>
      </c>
      <c r="B39" s="1" t="s">
        <v>127</v>
      </c>
      <c r="C39" s="1" t="s">
        <v>128</v>
      </c>
      <c r="D39" s="1" t="s">
        <v>12</v>
      </c>
      <c r="E39" s="1" t="s">
        <v>31</v>
      </c>
      <c r="F39" s="1" t="s">
        <v>13</v>
      </c>
      <c r="G39" s="1" t="s">
        <v>23</v>
      </c>
      <c r="H39" s="1" t="s">
        <v>38</v>
      </c>
      <c r="I39" s="1" t="s">
        <v>78</v>
      </c>
      <c r="J39" s="1" t="s">
        <v>30</v>
      </c>
      <c r="K39" s="1">
        <v>93</v>
      </c>
      <c r="L39" s="9">
        <f t="shared" si="0"/>
        <v>0.93</v>
      </c>
      <c r="M39" s="8">
        <f t="shared" si="1"/>
        <v>11.549019599857434</v>
      </c>
      <c r="N39" s="8"/>
      <c r="O39" s="1" t="s">
        <v>131</v>
      </c>
    </row>
    <row r="40" spans="1:15" x14ac:dyDescent="0.3">
      <c r="A40" s="1" t="s">
        <v>1</v>
      </c>
      <c r="B40" s="1" t="s">
        <v>130</v>
      </c>
      <c r="C40" s="1" t="s">
        <v>129</v>
      </c>
      <c r="D40" s="1" t="s">
        <v>12</v>
      </c>
      <c r="E40" s="1" t="s">
        <v>31</v>
      </c>
      <c r="F40" s="1" t="s">
        <v>13</v>
      </c>
      <c r="G40" s="1" t="s">
        <v>23</v>
      </c>
      <c r="H40" s="1" t="s">
        <v>38</v>
      </c>
      <c r="I40" s="1" t="s">
        <v>78</v>
      </c>
      <c r="J40" s="1" t="s">
        <v>30</v>
      </c>
      <c r="K40" s="1">
        <v>92</v>
      </c>
      <c r="L40" s="9">
        <f t="shared" si="0"/>
        <v>0.92</v>
      </c>
      <c r="M40" s="8">
        <f t="shared" si="1"/>
        <v>10.969100130080566</v>
      </c>
      <c r="N40" s="8"/>
      <c r="O40" s="1" t="s">
        <v>131</v>
      </c>
    </row>
    <row r="41" spans="1:15" x14ac:dyDescent="0.3">
      <c r="A41" s="1" t="s">
        <v>1</v>
      </c>
      <c r="B41" s="1" t="s">
        <v>132</v>
      </c>
      <c r="C41" s="1" t="s">
        <v>99</v>
      </c>
      <c r="D41" s="1" t="s">
        <v>49</v>
      </c>
      <c r="E41" s="1" t="s">
        <v>177</v>
      </c>
      <c r="F41" s="1" t="s">
        <v>13</v>
      </c>
      <c r="G41" s="2">
        <v>3.5000000000000003E-2</v>
      </c>
      <c r="H41" s="1">
        <v>0</v>
      </c>
      <c r="I41" s="1" t="s">
        <v>78</v>
      </c>
      <c r="J41" s="1" t="s">
        <v>125</v>
      </c>
      <c r="K41" s="1">
        <v>98.2</v>
      </c>
      <c r="L41" s="9">
        <f t="shared" si="0"/>
        <v>0.98199999999999998</v>
      </c>
      <c r="M41" s="8">
        <f t="shared" si="1"/>
        <v>17.447274948966935</v>
      </c>
      <c r="N41" s="8"/>
      <c r="O41" s="1" t="s">
        <v>134</v>
      </c>
    </row>
    <row r="42" spans="1:15" x14ac:dyDescent="0.3">
      <c r="A42" s="1" t="s">
        <v>1</v>
      </c>
      <c r="B42" s="1" t="s">
        <v>133</v>
      </c>
      <c r="C42" s="1" t="s">
        <v>101</v>
      </c>
      <c r="D42" s="1" t="s">
        <v>49</v>
      </c>
      <c r="E42" s="1" t="s">
        <v>177</v>
      </c>
      <c r="F42" s="1" t="s">
        <v>13</v>
      </c>
      <c r="G42" s="2">
        <v>3.5000000000000003E-2</v>
      </c>
      <c r="H42" s="1">
        <v>0</v>
      </c>
      <c r="I42" s="1" t="s">
        <v>78</v>
      </c>
      <c r="J42" s="1" t="s">
        <v>125</v>
      </c>
      <c r="K42" s="1">
        <v>97.7</v>
      </c>
      <c r="L42" s="9">
        <f t="shared" si="0"/>
        <v>0.97699999999999998</v>
      </c>
      <c r="M42" s="8">
        <f t="shared" si="1"/>
        <v>16.382721639824066</v>
      </c>
      <c r="N42" s="8"/>
      <c r="O42" s="1" t="s">
        <v>134</v>
      </c>
    </row>
    <row r="43" spans="1:15" x14ac:dyDescent="0.3">
      <c r="A43" s="1" t="s">
        <v>1</v>
      </c>
      <c r="B43" s="1" t="s">
        <v>135</v>
      </c>
      <c r="C43" s="1" t="s">
        <v>136</v>
      </c>
      <c r="D43" s="1" t="s">
        <v>137</v>
      </c>
      <c r="E43" s="1" t="s">
        <v>150</v>
      </c>
      <c r="F43" s="1" t="s">
        <v>13</v>
      </c>
      <c r="G43" s="2" t="s">
        <v>80</v>
      </c>
      <c r="H43" s="1">
        <v>0</v>
      </c>
      <c r="I43" s="1" t="s">
        <v>15</v>
      </c>
      <c r="J43" s="1" t="s">
        <v>30</v>
      </c>
      <c r="K43" s="1">
        <v>85</v>
      </c>
      <c r="L43" s="9">
        <f t="shared" si="0"/>
        <v>0.85</v>
      </c>
      <c r="M43" s="8">
        <f t="shared" si="1"/>
        <v>8.2390874094431883</v>
      </c>
      <c r="N43" s="8"/>
      <c r="O43" s="1" t="s">
        <v>138</v>
      </c>
    </row>
    <row r="44" spans="1:15" x14ac:dyDescent="0.3">
      <c r="A44" s="1" t="s">
        <v>1</v>
      </c>
      <c r="B44" s="1" t="s">
        <v>139</v>
      </c>
      <c r="C44" s="1" t="s">
        <v>140</v>
      </c>
      <c r="D44" s="1" t="s">
        <v>141</v>
      </c>
      <c r="E44" s="1" t="s">
        <v>31</v>
      </c>
      <c r="F44" s="1" t="s">
        <v>13</v>
      </c>
      <c r="G44" s="2">
        <v>0.03</v>
      </c>
      <c r="H44" s="1">
        <v>0</v>
      </c>
      <c r="I44" s="1" t="s">
        <v>15</v>
      </c>
      <c r="J44" s="1" t="s">
        <v>38</v>
      </c>
      <c r="K44" s="1">
        <v>84.08</v>
      </c>
      <c r="L44" s="9">
        <f t="shared" si="0"/>
        <v>0.84079999999999999</v>
      </c>
      <c r="M44" s="8">
        <f t="shared" si="1"/>
        <v>7.9805693659834978</v>
      </c>
      <c r="N44" s="8"/>
      <c r="O44" s="1" t="s">
        <v>498</v>
      </c>
    </row>
    <row r="45" spans="1:15" x14ac:dyDescent="0.3">
      <c r="A45" s="1" t="s">
        <v>1</v>
      </c>
      <c r="B45" s="1" t="s">
        <v>143</v>
      </c>
      <c r="C45" s="1" t="s">
        <v>144</v>
      </c>
      <c r="D45" s="1" t="s">
        <v>141</v>
      </c>
      <c r="E45" s="1" t="s">
        <v>23</v>
      </c>
      <c r="F45" s="1" t="s">
        <v>13</v>
      </c>
      <c r="G45" s="2" t="s">
        <v>23</v>
      </c>
      <c r="H45" s="1">
        <v>0</v>
      </c>
      <c r="I45" s="1" t="s">
        <v>15</v>
      </c>
      <c r="J45" s="1" t="s">
        <v>38</v>
      </c>
      <c r="K45" s="1">
        <v>38.5</v>
      </c>
      <c r="L45" s="9">
        <f t="shared" si="0"/>
        <v>0.38500000000000001</v>
      </c>
      <c r="M45" s="8">
        <f t="shared" si="1"/>
        <v>2.1112488422458324</v>
      </c>
      <c r="N45" s="8"/>
      <c r="O45" s="1" t="s">
        <v>142</v>
      </c>
    </row>
    <row r="46" spans="1:15" x14ac:dyDescent="0.3">
      <c r="A46" s="1" t="s">
        <v>1</v>
      </c>
      <c r="B46" s="1" t="s">
        <v>146</v>
      </c>
      <c r="C46" s="1" t="s">
        <v>145</v>
      </c>
      <c r="D46" s="1" t="s">
        <v>147</v>
      </c>
      <c r="E46" s="1" t="s">
        <v>31</v>
      </c>
      <c r="F46" s="1" t="s">
        <v>13</v>
      </c>
      <c r="G46" s="4">
        <v>0.03</v>
      </c>
      <c r="H46" s="1">
        <v>0</v>
      </c>
      <c r="I46" s="1" t="s">
        <v>15</v>
      </c>
      <c r="J46" s="1" t="s">
        <v>38</v>
      </c>
      <c r="K46" s="1">
        <v>86.8</v>
      </c>
      <c r="L46" s="9">
        <f t="shared" si="0"/>
        <v>0.86799999999999999</v>
      </c>
      <c r="M46" s="8">
        <f t="shared" si="1"/>
        <v>8.7942606879415006</v>
      </c>
      <c r="N46" s="8"/>
      <c r="O46" s="1" t="s">
        <v>539</v>
      </c>
    </row>
    <row r="47" spans="1:15" x14ac:dyDescent="0.3">
      <c r="A47" s="1" t="s">
        <v>1</v>
      </c>
      <c r="B47" s="1" t="s">
        <v>148</v>
      </c>
      <c r="C47" s="1" t="s">
        <v>149</v>
      </c>
      <c r="D47" s="1" t="s">
        <v>147</v>
      </c>
      <c r="E47" s="1" t="s">
        <v>31</v>
      </c>
      <c r="F47" s="1" t="s">
        <v>13</v>
      </c>
      <c r="G47" s="2" t="s">
        <v>150</v>
      </c>
      <c r="K47" s="1">
        <v>53.5</v>
      </c>
      <c r="L47" s="9">
        <f t="shared" si="0"/>
        <v>0.53500000000000003</v>
      </c>
      <c r="M47" s="8">
        <f t="shared" si="1"/>
        <v>3.325470471100461</v>
      </c>
      <c r="N47" s="8"/>
      <c r="O47" s="1" t="s">
        <v>180</v>
      </c>
    </row>
    <row r="48" spans="1:15" x14ac:dyDescent="0.3">
      <c r="A48" s="1" t="s">
        <v>1</v>
      </c>
      <c r="B48" s="1" t="s">
        <v>154</v>
      </c>
      <c r="C48" s="1" t="s">
        <v>153</v>
      </c>
      <c r="D48" s="1" t="s">
        <v>147</v>
      </c>
      <c r="E48" s="1" t="s">
        <v>31</v>
      </c>
      <c r="F48" s="1" t="s">
        <v>13</v>
      </c>
      <c r="G48" s="2" t="s">
        <v>150</v>
      </c>
      <c r="K48" s="1">
        <v>99.4</v>
      </c>
      <c r="L48" s="9">
        <f t="shared" si="0"/>
        <v>0.99400000000000011</v>
      </c>
      <c r="M48" s="8">
        <f t="shared" si="1"/>
        <v>22.21848749616364</v>
      </c>
      <c r="N48" s="8"/>
      <c r="O48" s="1" t="s">
        <v>180</v>
      </c>
    </row>
    <row r="49" spans="1:16" x14ac:dyDescent="0.3">
      <c r="A49" s="1" t="s">
        <v>1</v>
      </c>
      <c r="B49" s="1" t="s">
        <v>156</v>
      </c>
      <c r="C49" s="1" t="s">
        <v>155</v>
      </c>
      <c r="D49" s="1" t="s">
        <v>147</v>
      </c>
      <c r="E49" s="1" t="s">
        <v>31</v>
      </c>
      <c r="F49" s="1" t="s">
        <v>13</v>
      </c>
      <c r="G49" s="2" t="s">
        <v>150</v>
      </c>
      <c r="K49" s="1">
        <v>93.4</v>
      </c>
      <c r="L49" s="9">
        <f t="shared" si="0"/>
        <v>0.93400000000000005</v>
      </c>
      <c r="M49" s="8">
        <f t="shared" si="1"/>
        <v>11.804560644581317</v>
      </c>
      <c r="N49" s="8"/>
      <c r="O49" s="1" t="s">
        <v>180</v>
      </c>
    </row>
    <row r="50" spans="1:16" x14ac:dyDescent="0.3">
      <c r="A50" s="1" t="s">
        <v>1</v>
      </c>
      <c r="B50" s="1" t="s">
        <v>159</v>
      </c>
      <c r="C50" s="1" t="s">
        <v>158</v>
      </c>
      <c r="D50" s="1" t="s">
        <v>85</v>
      </c>
      <c r="E50" s="1" t="s">
        <v>72</v>
      </c>
      <c r="F50" s="1" t="s">
        <v>13</v>
      </c>
      <c r="G50" s="4">
        <v>0.03</v>
      </c>
      <c r="K50" s="1">
        <v>94</v>
      </c>
      <c r="L50" s="9">
        <f t="shared" si="0"/>
        <v>0.94</v>
      </c>
      <c r="M50" s="8">
        <f t="shared" si="1"/>
        <v>12.21848749616356</v>
      </c>
      <c r="N50" s="8"/>
      <c r="O50" s="1" t="s">
        <v>180</v>
      </c>
      <c r="P50" s="1" t="s">
        <v>151</v>
      </c>
    </row>
    <row r="51" spans="1:16" x14ac:dyDescent="0.3">
      <c r="A51" s="1" t="s">
        <v>1</v>
      </c>
      <c r="B51" s="1" t="s">
        <v>161</v>
      </c>
      <c r="C51" s="1" t="s">
        <v>160</v>
      </c>
      <c r="D51" s="1" t="s">
        <v>85</v>
      </c>
      <c r="E51" s="1" t="s">
        <v>72</v>
      </c>
      <c r="F51" s="1" t="s">
        <v>13</v>
      </c>
      <c r="G51" s="4">
        <v>0.03</v>
      </c>
      <c r="K51" s="1">
        <v>71.400000000000006</v>
      </c>
      <c r="L51" s="9">
        <f t="shared" si="0"/>
        <v>0.71400000000000008</v>
      </c>
      <c r="M51" s="8">
        <f t="shared" si="1"/>
        <v>5.4363396687095715</v>
      </c>
      <c r="N51" s="8"/>
      <c r="O51" s="1" t="s">
        <v>180</v>
      </c>
      <c r="P51" s="1" t="s">
        <v>152</v>
      </c>
    </row>
    <row r="52" spans="1:16" x14ac:dyDescent="0.3">
      <c r="A52" s="1" t="s">
        <v>1</v>
      </c>
      <c r="B52" s="1" t="s">
        <v>63</v>
      </c>
      <c r="C52" s="1" t="s">
        <v>64</v>
      </c>
      <c r="D52" s="1" t="s">
        <v>12</v>
      </c>
      <c r="E52" s="1" t="s">
        <v>150</v>
      </c>
      <c r="F52" s="1" t="s">
        <v>13</v>
      </c>
      <c r="G52" s="4">
        <v>0.03</v>
      </c>
      <c r="K52" s="1">
        <v>49.79</v>
      </c>
      <c r="L52" s="9">
        <f t="shared" si="0"/>
        <v>0.49790000000000001</v>
      </c>
      <c r="M52" s="8">
        <f t="shared" si="1"/>
        <v>2.9920977862565308</v>
      </c>
      <c r="N52" s="8"/>
      <c r="O52" s="1" t="s">
        <v>180</v>
      </c>
    </row>
    <row r="53" spans="1:16" x14ac:dyDescent="0.3">
      <c r="A53" s="1" t="s">
        <v>1</v>
      </c>
      <c r="B53" s="1" t="s">
        <v>162</v>
      </c>
      <c r="C53" s="1" t="s">
        <v>163</v>
      </c>
      <c r="D53" s="1" t="s">
        <v>12</v>
      </c>
      <c r="E53" s="1" t="s">
        <v>150</v>
      </c>
      <c r="F53" s="1" t="s">
        <v>13</v>
      </c>
      <c r="G53" s="4">
        <v>0.03</v>
      </c>
      <c r="K53" s="1">
        <v>63.31</v>
      </c>
      <c r="L53" s="9">
        <f t="shared" si="0"/>
        <v>0.6331</v>
      </c>
      <c r="M53" s="8">
        <f t="shared" si="1"/>
        <v>4.3545228824405209</v>
      </c>
      <c r="N53" s="8"/>
      <c r="O53" s="1" t="s">
        <v>180</v>
      </c>
    </row>
    <row r="54" spans="1:16" x14ac:dyDescent="0.3">
      <c r="A54" s="1" t="s">
        <v>1</v>
      </c>
      <c r="B54" s="1" t="s">
        <v>104</v>
      </c>
      <c r="C54" s="1" t="s">
        <v>103</v>
      </c>
      <c r="D54" s="1" t="s">
        <v>12</v>
      </c>
      <c r="E54" s="1" t="s">
        <v>37</v>
      </c>
      <c r="F54" s="1" t="s">
        <v>13</v>
      </c>
      <c r="G54" s="4">
        <v>0.03</v>
      </c>
      <c r="K54" s="1">
        <v>71.239999999999995</v>
      </c>
      <c r="L54" s="9">
        <f t="shared" si="0"/>
        <v>0.71239999999999992</v>
      </c>
      <c r="M54" s="8">
        <f t="shared" si="1"/>
        <v>5.4121111828915494</v>
      </c>
      <c r="N54" s="8"/>
      <c r="O54" s="1" t="s">
        <v>180</v>
      </c>
    </row>
    <row r="55" spans="1:16" x14ac:dyDescent="0.3">
      <c r="A55" s="1" t="s">
        <v>1</v>
      </c>
      <c r="B55" s="1" t="s">
        <v>106</v>
      </c>
      <c r="C55" s="1" t="s">
        <v>105</v>
      </c>
      <c r="D55" s="1" t="s">
        <v>12</v>
      </c>
      <c r="E55" s="1" t="s">
        <v>31</v>
      </c>
      <c r="F55" s="1" t="s">
        <v>13</v>
      </c>
      <c r="G55" s="4">
        <v>0.03</v>
      </c>
      <c r="K55" s="1">
        <v>80.5</v>
      </c>
      <c r="L55" s="9">
        <f t="shared" si="0"/>
        <v>0.80500000000000005</v>
      </c>
      <c r="M55" s="8">
        <f t="shared" si="1"/>
        <v>7.0996538863748215</v>
      </c>
      <c r="N55" s="8"/>
      <c r="O55" s="1" t="s">
        <v>180</v>
      </c>
    </row>
    <row r="56" spans="1:16" x14ac:dyDescent="0.3">
      <c r="A56" s="1" t="s">
        <v>1</v>
      </c>
      <c r="B56" s="1" t="s">
        <v>164</v>
      </c>
      <c r="C56" s="1" t="s">
        <v>128</v>
      </c>
      <c r="D56" s="1" t="s">
        <v>12</v>
      </c>
      <c r="E56" s="1" t="s">
        <v>72</v>
      </c>
      <c r="F56" s="1" t="s">
        <v>13</v>
      </c>
      <c r="G56" s="4">
        <v>0.03</v>
      </c>
      <c r="K56" s="1">
        <v>94.31</v>
      </c>
      <c r="L56" s="9">
        <f t="shared" si="0"/>
        <v>0.94310000000000005</v>
      </c>
      <c r="M56" s="8">
        <f t="shared" si="1"/>
        <v>12.448877336049291</v>
      </c>
      <c r="N56" s="8"/>
      <c r="O56" s="1" t="s">
        <v>180</v>
      </c>
    </row>
    <row r="57" spans="1:16" x14ac:dyDescent="0.3">
      <c r="A57" s="1" t="s">
        <v>1</v>
      </c>
      <c r="B57" s="1" t="s">
        <v>167</v>
      </c>
      <c r="C57" s="1" t="s">
        <v>166</v>
      </c>
      <c r="D57" s="1" t="s">
        <v>12</v>
      </c>
      <c r="E57" s="1" t="s">
        <v>165</v>
      </c>
      <c r="F57" s="1" t="s">
        <v>13</v>
      </c>
      <c r="G57" s="4">
        <v>0.03</v>
      </c>
      <c r="K57" s="1">
        <v>93.03</v>
      </c>
      <c r="L57" s="9">
        <f t="shared" si="0"/>
        <v>0.93030000000000002</v>
      </c>
      <c r="M57" s="8">
        <f t="shared" si="1"/>
        <v>11.567672219019906</v>
      </c>
      <c r="N57" s="8"/>
      <c r="O57" s="1" t="s">
        <v>180</v>
      </c>
    </row>
    <row r="58" spans="1:16" x14ac:dyDescent="0.3">
      <c r="A58" s="1" t="s">
        <v>1</v>
      </c>
      <c r="B58" s="1" t="s">
        <v>168</v>
      </c>
      <c r="C58" s="1" t="s">
        <v>169</v>
      </c>
      <c r="D58" s="1" t="s">
        <v>12</v>
      </c>
      <c r="E58" s="1" t="s">
        <v>80</v>
      </c>
      <c r="F58" s="1" t="s">
        <v>13</v>
      </c>
      <c r="G58" s="4">
        <v>0.03</v>
      </c>
      <c r="K58" s="1">
        <v>83.95</v>
      </c>
      <c r="L58" s="9">
        <f t="shared" si="0"/>
        <v>0.83950000000000002</v>
      </c>
      <c r="M58" s="8">
        <f t="shared" si="1"/>
        <v>7.9452496325910911</v>
      </c>
      <c r="N58" s="8"/>
      <c r="O58" s="1" t="s">
        <v>180</v>
      </c>
    </row>
    <row r="59" spans="1:16" x14ac:dyDescent="0.3">
      <c r="A59" s="1" t="s">
        <v>1</v>
      </c>
      <c r="B59" s="1" t="s">
        <v>171</v>
      </c>
      <c r="C59" s="1" t="s">
        <v>170</v>
      </c>
      <c r="D59" s="1" t="s">
        <v>171</v>
      </c>
      <c r="E59" s="1" t="s">
        <v>172</v>
      </c>
      <c r="F59" s="1" t="s">
        <v>13</v>
      </c>
      <c r="G59" s="1" t="s">
        <v>173</v>
      </c>
      <c r="K59" s="1">
        <v>76</v>
      </c>
      <c r="L59" s="9">
        <f t="shared" si="0"/>
        <v>0.76</v>
      </c>
      <c r="M59" s="8">
        <f t="shared" si="1"/>
        <v>6.1978875828839399</v>
      </c>
      <c r="N59" s="8"/>
      <c r="O59" s="1" t="s">
        <v>180</v>
      </c>
    </row>
    <row r="60" spans="1:16" x14ac:dyDescent="0.3">
      <c r="A60" s="1" t="s">
        <v>1</v>
      </c>
      <c r="B60" s="1" t="s">
        <v>175</v>
      </c>
      <c r="C60" s="1" t="s">
        <v>174</v>
      </c>
      <c r="D60" s="1" t="s">
        <v>171</v>
      </c>
      <c r="E60" s="1" t="s">
        <v>172</v>
      </c>
      <c r="F60" s="1" t="s">
        <v>13</v>
      </c>
      <c r="G60" s="1" t="s">
        <v>173</v>
      </c>
      <c r="K60" s="1">
        <v>92</v>
      </c>
      <c r="L60" s="9">
        <f t="shared" si="0"/>
        <v>0.92</v>
      </c>
      <c r="M60" s="8">
        <f t="shared" si="1"/>
        <v>10.969100130080566</v>
      </c>
      <c r="N60" s="8"/>
      <c r="O60" s="1" t="s">
        <v>180</v>
      </c>
    </row>
    <row r="61" spans="1:16" x14ac:dyDescent="0.3">
      <c r="A61" s="1" t="s">
        <v>1</v>
      </c>
      <c r="B61" s="1" t="s">
        <v>139</v>
      </c>
      <c r="C61" s="1" t="s">
        <v>70</v>
      </c>
      <c r="D61" s="1" t="s">
        <v>176</v>
      </c>
      <c r="E61" s="1" t="s">
        <v>178</v>
      </c>
      <c r="F61" s="1" t="s">
        <v>13</v>
      </c>
      <c r="G61" s="4">
        <v>0.03</v>
      </c>
      <c r="I61" s="1" t="s">
        <v>179</v>
      </c>
      <c r="K61" s="1">
        <v>60</v>
      </c>
      <c r="L61" s="9">
        <f t="shared" si="0"/>
        <v>0.6</v>
      </c>
      <c r="M61" s="8">
        <f t="shared" si="1"/>
        <v>3.9794000867203758</v>
      </c>
      <c r="N61" s="8"/>
      <c r="O61" s="1" t="s">
        <v>180</v>
      </c>
    </row>
    <row r="62" spans="1:16" x14ac:dyDescent="0.3">
      <c r="A62" s="1" t="s">
        <v>1</v>
      </c>
      <c r="B62" s="1" t="s">
        <v>181</v>
      </c>
      <c r="C62" s="1" t="s">
        <v>55</v>
      </c>
      <c r="D62" s="1" t="s">
        <v>22</v>
      </c>
      <c r="E62" s="1" t="s">
        <v>31</v>
      </c>
      <c r="F62" s="1" t="s">
        <v>182</v>
      </c>
      <c r="I62" s="1" t="s">
        <v>183</v>
      </c>
      <c r="K62" s="1">
        <v>89.3</v>
      </c>
      <c r="L62" s="9">
        <f t="shared" si="0"/>
        <v>0.89300000000000002</v>
      </c>
      <c r="M62" s="8">
        <f t="shared" si="1"/>
        <v>9.7061622231479046</v>
      </c>
      <c r="N62" s="8"/>
      <c r="O62" s="5" t="s">
        <v>184</v>
      </c>
    </row>
    <row r="63" spans="1:16" x14ac:dyDescent="0.3">
      <c r="A63" s="1" t="s">
        <v>1</v>
      </c>
      <c r="B63" s="1" t="s">
        <v>186</v>
      </c>
      <c r="C63" s="1" t="s">
        <v>48</v>
      </c>
      <c r="D63" s="1" t="s">
        <v>49</v>
      </c>
      <c r="E63" s="1" t="s">
        <v>31</v>
      </c>
      <c r="F63" s="1" t="s">
        <v>13</v>
      </c>
      <c r="G63" s="4">
        <v>0.03</v>
      </c>
      <c r="K63" s="1">
        <v>93.2</v>
      </c>
      <c r="L63" s="9">
        <f t="shared" si="0"/>
        <v>0.93200000000000005</v>
      </c>
      <c r="M63" s="8">
        <f t="shared" si="1"/>
        <v>11.674910872937641</v>
      </c>
      <c r="N63" s="8"/>
      <c r="O63" s="1" t="s">
        <v>199</v>
      </c>
    </row>
    <row r="64" spans="1:16" x14ac:dyDescent="0.3">
      <c r="A64" s="1" t="s">
        <v>1</v>
      </c>
      <c r="B64" s="1" t="s">
        <v>187</v>
      </c>
      <c r="C64" s="1" t="s">
        <v>52</v>
      </c>
      <c r="D64" s="1" t="s">
        <v>49</v>
      </c>
      <c r="E64" s="1" t="s">
        <v>79</v>
      </c>
      <c r="F64" s="1" t="s">
        <v>13</v>
      </c>
      <c r="G64" s="4">
        <v>0.03</v>
      </c>
      <c r="K64" s="1">
        <v>90.5</v>
      </c>
      <c r="L64" s="9">
        <f t="shared" si="0"/>
        <v>0.90500000000000003</v>
      </c>
      <c r="M64" s="8">
        <f t="shared" si="1"/>
        <v>10.222763947111524</v>
      </c>
      <c r="N64" s="8"/>
      <c r="O64" s="1" t="s">
        <v>199</v>
      </c>
    </row>
    <row r="65" spans="1:15" x14ac:dyDescent="0.3">
      <c r="A65" s="1" t="s">
        <v>1</v>
      </c>
      <c r="B65" s="1" t="s">
        <v>188</v>
      </c>
      <c r="C65" s="1" t="s">
        <v>189</v>
      </c>
      <c r="D65" s="1" t="s">
        <v>147</v>
      </c>
      <c r="E65" s="1" t="s">
        <v>72</v>
      </c>
      <c r="F65" s="1" t="s">
        <v>13</v>
      </c>
      <c r="G65" s="1" t="s">
        <v>190</v>
      </c>
      <c r="K65" s="1">
        <v>84.76</v>
      </c>
      <c r="L65" s="9">
        <f t="shared" si="0"/>
        <v>0.84760000000000002</v>
      </c>
      <c r="M65" s="8">
        <f t="shared" si="1"/>
        <v>8.1701503299641836</v>
      </c>
      <c r="N65" s="8"/>
      <c r="O65" s="1" t="s">
        <v>199</v>
      </c>
    </row>
    <row r="66" spans="1:15" x14ac:dyDescent="0.3">
      <c r="A66" s="1" t="s">
        <v>1</v>
      </c>
      <c r="B66" s="1" t="s">
        <v>192</v>
      </c>
      <c r="C66" s="1" t="s">
        <v>191</v>
      </c>
      <c r="D66" s="1" t="s">
        <v>22</v>
      </c>
      <c r="E66" s="1" t="s">
        <v>23</v>
      </c>
      <c r="F66" s="1" t="s">
        <v>13</v>
      </c>
      <c r="G66" s="4">
        <v>0.03</v>
      </c>
      <c r="K66" s="1">
        <v>94.5</v>
      </c>
      <c r="L66" s="9">
        <f t="shared" si="0"/>
        <v>0.94499999999999995</v>
      </c>
      <c r="M66" s="8">
        <f t="shared" si="1"/>
        <v>12.596373105057557</v>
      </c>
      <c r="N66" s="8"/>
      <c r="O66" s="1" t="s">
        <v>199</v>
      </c>
    </row>
    <row r="67" spans="1:15" x14ac:dyDescent="0.3">
      <c r="A67" s="1" t="s">
        <v>1</v>
      </c>
      <c r="B67" s="1" t="s">
        <v>193</v>
      </c>
      <c r="C67" s="1" t="s">
        <v>194</v>
      </c>
      <c r="D67" s="1" t="s">
        <v>85</v>
      </c>
      <c r="E67" s="1" t="s">
        <v>31</v>
      </c>
      <c r="F67" s="1" t="s">
        <v>182</v>
      </c>
      <c r="K67" s="1">
        <v>82.7</v>
      </c>
      <c r="L67" s="9">
        <f t="shared" ref="L67:L130" si="2">K67/100</f>
        <v>0.82700000000000007</v>
      </c>
      <c r="M67" s="8">
        <f t="shared" ref="M67:M130" si="3">10*LOG10(1/(1-L67))</f>
        <v>7.6195389687120478</v>
      </c>
      <c r="N67" s="8"/>
      <c r="O67" s="1" t="s">
        <v>199</v>
      </c>
    </row>
    <row r="68" spans="1:15" x14ac:dyDescent="0.3">
      <c r="A68" s="1" t="s">
        <v>1</v>
      </c>
      <c r="B68" s="1" t="s">
        <v>195</v>
      </c>
      <c r="C68" s="1" t="s">
        <v>196</v>
      </c>
      <c r="D68" s="1" t="s">
        <v>85</v>
      </c>
      <c r="E68" s="1" t="s">
        <v>31</v>
      </c>
      <c r="F68" s="1" t="s">
        <v>182</v>
      </c>
      <c r="K68" s="1">
        <v>85.7</v>
      </c>
      <c r="L68" s="9">
        <f t="shared" si="2"/>
        <v>0.85699999999999998</v>
      </c>
      <c r="M68" s="8">
        <f t="shared" si="3"/>
        <v>8.4466396253493805</v>
      </c>
      <c r="N68" s="8"/>
      <c r="O68" s="1" t="s">
        <v>199</v>
      </c>
    </row>
    <row r="69" spans="1:15" x14ac:dyDescent="0.3">
      <c r="A69" s="1" t="s">
        <v>1</v>
      </c>
      <c r="B69" s="1" t="s">
        <v>198</v>
      </c>
      <c r="C69" s="1" t="s">
        <v>197</v>
      </c>
      <c r="D69" s="1" t="s">
        <v>85</v>
      </c>
      <c r="E69" s="1" t="s">
        <v>31</v>
      </c>
      <c r="F69" s="1" t="s">
        <v>182</v>
      </c>
      <c r="K69" s="1">
        <v>90.4</v>
      </c>
      <c r="L69" s="9">
        <f t="shared" si="2"/>
        <v>0.90400000000000003</v>
      </c>
      <c r="M69" s="8">
        <f t="shared" si="3"/>
        <v>10.177287669604318</v>
      </c>
      <c r="N69" s="8"/>
      <c r="O69" s="1" t="s">
        <v>199</v>
      </c>
    </row>
    <row r="70" spans="1:15" x14ac:dyDescent="0.3">
      <c r="A70" s="1" t="s">
        <v>1</v>
      </c>
      <c r="B70" s="1" t="s">
        <v>202</v>
      </c>
      <c r="C70" s="1" t="s">
        <v>201</v>
      </c>
      <c r="D70" s="1" t="s">
        <v>209</v>
      </c>
      <c r="E70" s="1" t="s">
        <v>23</v>
      </c>
      <c r="F70" s="1" t="s">
        <v>13</v>
      </c>
      <c r="G70" s="4">
        <v>0.03</v>
      </c>
      <c r="J70" s="1">
        <v>20</v>
      </c>
      <c r="K70" s="1">
        <v>73.2</v>
      </c>
      <c r="L70" s="9">
        <f t="shared" si="2"/>
        <v>0.73199999999999998</v>
      </c>
      <c r="M70" s="8">
        <f t="shared" si="3"/>
        <v>5.7186520597121113</v>
      </c>
      <c r="N70" s="8"/>
      <c r="O70" s="1" t="s">
        <v>205</v>
      </c>
    </row>
    <row r="71" spans="1:15" x14ac:dyDescent="0.3">
      <c r="A71" s="1" t="s">
        <v>1</v>
      </c>
      <c r="B71" s="1" t="s">
        <v>204</v>
      </c>
      <c r="C71" s="1" t="s">
        <v>203</v>
      </c>
      <c r="D71" s="1" t="s">
        <v>209</v>
      </c>
      <c r="E71" s="1" t="s">
        <v>23</v>
      </c>
      <c r="F71" s="1" t="s">
        <v>13</v>
      </c>
      <c r="G71" s="4">
        <v>0.03</v>
      </c>
      <c r="J71" s="1">
        <v>20</v>
      </c>
      <c r="K71" s="1">
        <v>70.599999999999994</v>
      </c>
      <c r="L71" s="9">
        <f t="shared" si="2"/>
        <v>0.70599999999999996</v>
      </c>
      <c r="M71" s="8">
        <f t="shared" si="3"/>
        <v>5.3165266958784265</v>
      </c>
      <c r="N71" s="8"/>
      <c r="O71" s="1" t="s">
        <v>205</v>
      </c>
    </row>
    <row r="72" spans="1:15" x14ac:dyDescent="0.3">
      <c r="A72" s="1" t="s">
        <v>1</v>
      </c>
      <c r="B72" s="6" t="s">
        <v>207</v>
      </c>
      <c r="C72" s="1" t="s">
        <v>208</v>
      </c>
      <c r="D72" s="1" t="s">
        <v>209</v>
      </c>
      <c r="E72" s="1" t="s">
        <v>206</v>
      </c>
      <c r="F72" s="1" t="s">
        <v>214</v>
      </c>
      <c r="H72" s="1">
        <v>10</v>
      </c>
      <c r="K72" s="1">
        <v>57.9</v>
      </c>
      <c r="L72" s="9">
        <f t="shared" si="2"/>
        <v>0.57899999999999996</v>
      </c>
      <c r="M72" s="8">
        <f t="shared" si="3"/>
        <v>3.7571790416433166</v>
      </c>
      <c r="N72" s="8"/>
      <c r="O72" s="1" t="s">
        <v>215</v>
      </c>
    </row>
    <row r="73" spans="1:15" x14ac:dyDescent="0.3">
      <c r="A73" s="1" t="s">
        <v>1</v>
      </c>
      <c r="B73" s="1" t="s">
        <v>210</v>
      </c>
      <c r="C73" s="1" t="s">
        <v>212</v>
      </c>
      <c r="D73" s="1" t="s">
        <v>209</v>
      </c>
      <c r="E73" s="1" t="s">
        <v>206</v>
      </c>
      <c r="F73" s="1" t="s">
        <v>214</v>
      </c>
      <c r="H73" s="1">
        <v>10</v>
      </c>
      <c r="K73" s="1">
        <v>88.6</v>
      </c>
      <c r="L73" s="9">
        <f t="shared" si="2"/>
        <v>0.8859999999999999</v>
      </c>
      <c r="M73" s="8">
        <f t="shared" si="3"/>
        <v>9.4309514866352693</v>
      </c>
      <c r="N73" s="8"/>
      <c r="O73" s="1" t="s">
        <v>215</v>
      </c>
    </row>
    <row r="74" spans="1:15" x14ac:dyDescent="0.3">
      <c r="A74" s="1" t="s">
        <v>1</v>
      </c>
      <c r="B74" s="1" t="s">
        <v>211</v>
      </c>
      <c r="C74" s="1" t="s">
        <v>213</v>
      </c>
      <c r="D74" s="1" t="s">
        <v>209</v>
      </c>
      <c r="E74" s="1" t="s">
        <v>206</v>
      </c>
      <c r="F74" s="1" t="s">
        <v>214</v>
      </c>
      <c r="H74" s="1">
        <v>10</v>
      </c>
      <c r="K74" s="1">
        <v>71.8</v>
      </c>
      <c r="L74" s="9">
        <f t="shared" si="2"/>
        <v>0.71799999999999997</v>
      </c>
      <c r="M74" s="8">
        <f t="shared" si="3"/>
        <v>5.4975089168063889</v>
      </c>
      <c r="N74" s="8"/>
      <c r="O74" s="1" t="s">
        <v>215</v>
      </c>
    </row>
    <row r="75" spans="1:15" x14ac:dyDescent="0.3">
      <c r="A75" s="1" t="s">
        <v>264</v>
      </c>
      <c r="B75" s="1" t="s">
        <v>216</v>
      </c>
      <c r="C75" s="1" t="s">
        <v>217</v>
      </c>
      <c r="D75" s="1" t="s">
        <v>209</v>
      </c>
      <c r="E75" s="1" t="s">
        <v>72</v>
      </c>
      <c r="F75" s="1" t="s">
        <v>13</v>
      </c>
      <c r="G75" s="2">
        <v>0.03</v>
      </c>
      <c r="K75" s="1">
        <v>88.2</v>
      </c>
      <c r="L75" s="9">
        <f t="shared" si="2"/>
        <v>0.88200000000000001</v>
      </c>
      <c r="M75" s="8">
        <f t="shared" si="3"/>
        <v>9.281179926938746</v>
      </c>
      <c r="N75" s="8"/>
      <c r="O75" s="1" t="s">
        <v>224</v>
      </c>
    </row>
    <row r="76" spans="1:15" x14ac:dyDescent="0.3">
      <c r="A76" s="1" t="s">
        <v>264</v>
      </c>
      <c r="B76" s="1" t="s">
        <v>219</v>
      </c>
      <c r="C76" s="1" t="s">
        <v>218</v>
      </c>
      <c r="D76" s="1" t="s">
        <v>209</v>
      </c>
      <c r="E76" s="1" t="s">
        <v>72</v>
      </c>
      <c r="F76" s="1" t="s">
        <v>13</v>
      </c>
      <c r="G76" s="1">
        <v>3</v>
      </c>
      <c r="K76" s="1">
        <v>75.2</v>
      </c>
      <c r="L76" s="9">
        <f t="shared" si="2"/>
        <v>0.752</v>
      </c>
      <c r="M76" s="8">
        <f t="shared" si="3"/>
        <v>6.0554831917378369</v>
      </c>
      <c r="N76" s="8"/>
      <c r="O76" s="1" t="s">
        <v>224</v>
      </c>
    </row>
    <row r="77" spans="1:15" x14ac:dyDescent="0.3">
      <c r="A77" s="1" t="s">
        <v>264</v>
      </c>
      <c r="B77" s="1" t="s">
        <v>221</v>
      </c>
      <c r="C77" s="1" t="s">
        <v>220</v>
      </c>
      <c r="D77" s="1" t="s">
        <v>209</v>
      </c>
      <c r="E77" s="1" t="s">
        <v>72</v>
      </c>
      <c r="F77" s="1" t="s">
        <v>13</v>
      </c>
      <c r="G77" s="1">
        <v>3</v>
      </c>
      <c r="K77" s="1">
        <v>67.5</v>
      </c>
      <c r="L77" s="9">
        <f t="shared" si="2"/>
        <v>0.67500000000000004</v>
      </c>
      <c r="M77" s="8">
        <f t="shared" si="3"/>
        <v>4.8811663902112574</v>
      </c>
      <c r="N77" s="8"/>
      <c r="O77" s="1" t="s">
        <v>224</v>
      </c>
    </row>
    <row r="78" spans="1:15" x14ac:dyDescent="0.3">
      <c r="A78" s="1" t="s">
        <v>264</v>
      </c>
      <c r="B78" s="1" t="s">
        <v>222</v>
      </c>
      <c r="C78" s="1" t="s">
        <v>223</v>
      </c>
      <c r="D78" s="1" t="s">
        <v>209</v>
      </c>
      <c r="E78" s="1" t="s">
        <v>72</v>
      </c>
      <c r="F78" s="1" t="s">
        <v>13</v>
      </c>
      <c r="G78" s="1">
        <v>3</v>
      </c>
      <c r="K78" s="1">
        <v>2.8</v>
      </c>
      <c r="L78" s="9">
        <f t="shared" si="2"/>
        <v>2.7999999999999997E-2</v>
      </c>
      <c r="M78" s="8">
        <f t="shared" si="3"/>
        <v>0.12333735073725414</v>
      </c>
      <c r="N78" s="8"/>
      <c r="O78" s="1" t="s">
        <v>224</v>
      </c>
    </row>
    <row r="79" spans="1:15" x14ac:dyDescent="0.3">
      <c r="A79" s="1" t="s">
        <v>1</v>
      </c>
      <c r="B79" s="1" t="s">
        <v>225</v>
      </c>
      <c r="C79" s="1" t="s">
        <v>226</v>
      </c>
      <c r="D79" s="1" t="s">
        <v>22</v>
      </c>
      <c r="E79" s="1" t="s">
        <v>227</v>
      </c>
      <c r="F79" s="1" t="s">
        <v>228</v>
      </c>
      <c r="K79" s="1">
        <v>61.9</v>
      </c>
      <c r="L79" s="9">
        <f t="shared" si="2"/>
        <v>0.61899999999999999</v>
      </c>
      <c r="M79" s="8">
        <f t="shared" si="3"/>
        <v>4.1907502432438068</v>
      </c>
      <c r="N79" s="8"/>
      <c r="O79" s="1" t="s">
        <v>258</v>
      </c>
    </row>
    <row r="80" spans="1:15" x14ac:dyDescent="0.3">
      <c r="A80" s="1" t="s">
        <v>1</v>
      </c>
      <c r="B80" s="1" t="s">
        <v>229</v>
      </c>
      <c r="C80" s="1" t="s">
        <v>230</v>
      </c>
      <c r="D80" s="1" t="s">
        <v>109</v>
      </c>
      <c r="E80" s="1" t="s">
        <v>17</v>
      </c>
      <c r="F80" s="1" t="s">
        <v>13</v>
      </c>
      <c r="G80" s="1">
        <v>3.5</v>
      </c>
      <c r="K80" s="1">
        <v>91.2</v>
      </c>
      <c r="L80" s="9">
        <f t="shared" si="2"/>
        <v>0.91200000000000003</v>
      </c>
      <c r="M80" s="8">
        <f t="shared" si="3"/>
        <v>10.555173278498316</v>
      </c>
      <c r="N80" s="8"/>
      <c r="O80" s="1" t="s">
        <v>258</v>
      </c>
    </row>
    <row r="81" spans="1:15" x14ac:dyDescent="0.3">
      <c r="A81" s="1" t="s">
        <v>1</v>
      </c>
      <c r="B81" s="1" t="s">
        <v>231</v>
      </c>
      <c r="C81" s="1" t="s">
        <v>232</v>
      </c>
      <c r="D81" s="1" t="s">
        <v>109</v>
      </c>
      <c r="E81" s="1" t="s">
        <v>31</v>
      </c>
      <c r="F81" s="1" t="s">
        <v>13</v>
      </c>
      <c r="G81" s="1" t="s">
        <v>235</v>
      </c>
      <c r="K81" s="1">
        <v>82.3</v>
      </c>
      <c r="L81" s="9">
        <f t="shared" si="2"/>
        <v>0.82299999999999995</v>
      </c>
      <c r="M81" s="8">
        <f t="shared" si="3"/>
        <v>7.5202673363819326</v>
      </c>
      <c r="N81" s="8"/>
      <c r="O81" s="1" t="s">
        <v>258</v>
      </c>
    </row>
    <row r="82" spans="1:15" x14ac:dyDescent="0.3">
      <c r="A82" s="1" t="s">
        <v>1</v>
      </c>
      <c r="B82" s="1" t="s">
        <v>233</v>
      </c>
      <c r="C82" s="1" t="s">
        <v>234</v>
      </c>
      <c r="D82" s="1" t="s">
        <v>109</v>
      </c>
      <c r="E82" s="1" t="s">
        <v>31</v>
      </c>
      <c r="F82" s="1" t="s">
        <v>13</v>
      </c>
      <c r="G82" s="1">
        <v>3.5</v>
      </c>
      <c r="K82" s="1">
        <v>88.9</v>
      </c>
      <c r="L82" s="9">
        <f t="shared" si="2"/>
        <v>0.88900000000000001</v>
      </c>
      <c r="M82" s="8">
        <f t="shared" si="3"/>
        <v>9.5467702121334259</v>
      </c>
      <c r="N82" s="8"/>
      <c r="O82" s="1" t="s">
        <v>258</v>
      </c>
    </row>
    <row r="83" spans="1:15" x14ac:dyDescent="0.3">
      <c r="A83" s="1" t="s">
        <v>1</v>
      </c>
      <c r="B83" s="1" t="s">
        <v>236</v>
      </c>
      <c r="C83" s="1" t="s">
        <v>116</v>
      </c>
      <c r="D83" s="1" t="s">
        <v>108</v>
      </c>
      <c r="E83" s="1" t="s">
        <v>100</v>
      </c>
      <c r="F83" s="1" t="s">
        <v>13</v>
      </c>
      <c r="G83" s="1">
        <v>3.5</v>
      </c>
      <c r="K83" s="1">
        <v>89.8</v>
      </c>
      <c r="L83" s="9">
        <f t="shared" si="2"/>
        <v>0.89800000000000002</v>
      </c>
      <c r="M83" s="8">
        <f t="shared" si="3"/>
        <v>9.9139982823808257</v>
      </c>
      <c r="N83" s="8"/>
      <c r="O83" s="1" t="s">
        <v>258</v>
      </c>
    </row>
    <row r="84" spans="1:15" x14ac:dyDescent="0.3">
      <c r="A84" s="1" t="s">
        <v>1</v>
      </c>
      <c r="B84" s="1" t="s">
        <v>237</v>
      </c>
      <c r="C84" s="1" t="s">
        <v>118</v>
      </c>
      <c r="D84" s="1" t="s">
        <v>108</v>
      </c>
      <c r="E84" s="1" t="s">
        <v>31</v>
      </c>
      <c r="F84" s="1" t="s">
        <v>13</v>
      </c>
      <c r="G84" s="1">
        <v>3.5</v>
      </c>
      <c r="K84" s="1">
        <v>95.4</v>
      </c>
      <c r="L84" s="9">
        <f t="shared" si="2"/>
        <v>0.95400000000000007</v>
      </c>
      <c r="M84" s="8">
        <f t="shared" si="3"/>
        <v>13.372421683184266</v>
      </c>
      <c r="N84" s="8"/>
      <c r="O84" s="1" t="s">
        <v>258</v>
      </c>
    </row>
    <row r="85" spans="1:15" x14ac:dyDescent="0.3">
      <c r="A85" s="1" t="s">
        <v>1</v>
      </c>
      <c r="B85" s="1" t="s">
        <v>238</v>
      </c>
      <c r="C85" s="1" t="s">
        <v>239</v>
      </c>
      <c r="D85" s="1" t="s">
        <v>240</v>
      </c>
      <c r="E85" s="1" t="s">
        <v>72</v>
      </c>
      <c r="F85" s="1" t="s">
        <v>13</v>
      </c>
      <c r="G85" s="1">
        <v>3</v>
      </c>
      <c r="K85" s="1">
        <v>76</v>
      </c>
      <c r="L85" s="9">
        <f t="shared" si="2"/>
        <v>0.76</v>
      </c>
      <c r="M85" s="8">
        <f t="shared" si="3"/>
        <v>6.1978875828839399</v>
      </c>
      <c r="N85" s="8"/>
      <c r="O85" s="1" t="s">
        <v>258</v>
      </c>
    </row>
    <row r="86" spans="1:15" x14ac:dyDescent="0.3">
      <c r="A86" s="1" t="s">
        <v>1</v>
      </c>
      <c r="B86" s="1" t="s">
        <v>242</v>
      </c>
      <c r="C86" s="1" t="s">
        <v>241</v>
      </c>
      <c r="D86" s="1" t="s">
        <v>240</v>
      </c>
      <c r="E86" s="1" t="s">
        <v>31</v>
      </c>
      <c r="F86" s="1" t="s">
        <v>13</v>
      </c>
      <c r="G86" s="1">
        <v>3.5</v>
      </c>
      <c r="H86" s="1">
        <v>12</v>
      </c>
      <c r="K86" s="1">
        <v>84.8</v>
      </c>
      <c r="L86" s="9">
        <f t="shared" si="2"/>
        <v>0.84799999999999998</v>
      </c>
      <c r="M86" s="8">
        <f t="shared" si="3"/>
        <v>8.1815641205522738</v>
      </c>
      <c r="N86" s="8"/>
      <c r="O86" s="1" t="s">
        <v>258</v>
      </c>
    </row>
    <row r="87" spans="1:15" x14ac:dyDescent="0.3">
      <c r="A87" s="1" t="s">
        <v>1</v>
      </c>
      <c r="B87" s="1" t="s">
        <v>243</v>
      </c>
      <c r="C87" s="1" t="s">
        <v>244</v>
      </c>
      <c r="D87" s="1" t="s">
        <v>209</v>
      </c>
      <c r="E87" s="1" t="s">
        <v>31</v>
      </c>
      <c r="F87" s="1" t="s">
        <v>13</v>
      </c>
      <c r="G87" s="1">
        <v>3.5</v>
      </c>
      <c r="K87" s="1">
        <v>82</v>
      </c>
      <c r="L87" s="9">
        <f t="shared" si="2"/>
        <v>0.82</v>
      </c>
      <c r="M87" s="8">
        <f t="shared" si="3"/>
        <v>7.447274948966939</v>
      </c>
      <c r="N87" s="8"/>
      <c r="O87" s="1" t="s">
        <v>258</v>
      </c>
    </row>
    <row r="88" spans="1:15" x14ac:dyDescent="0.3">
      <c r="A88" s="1" t="s">
        <v>1</v>
      </c>
      <c r="B88" s="1" t="s">
        <v>245</v>
      </c>
      <c r="C88" s="1" t="s">
        <v>145</v>
      </c>
      <c r="D88" s="1" t="s">
        <v>147</v>
      </c>
      <c r="E88" s="1" t="s">
        <v>31</v>
      </c>
      <c r="F88" s="1" t="s">
        <v>13</v>
      </c>
      <c r="G88" s="1">
        <v>3.5</v>
      </c>
      <c r="K88" s="1">
        <v>88.3</v>
      </c>
      <c r="L88" s="9">
        <f t="shared" si="2"/>
        <v>0.88300000000000001</v>
      </c>
      <c r="M88" s="8">
        <f t="shared" si="3"/>
        <v>9.3181413825383821</v>
      </c>
      <c r="N88" s="8"/>
      <c r="O88" s="1" t="s">
        <v>258</v>
      </c>
    </row>
    <row r="89" spans="1:15" x14ac:dyDescent="0.3">
      <c r="A89" s="1" t="s">
        <v>1</v>
      </c>
      <c r="B89" s="1" t="s">
        <v>246</v>
      </c>
      <c r="C89" s="1" t="s">
        <v>153</v>
      </c>
      <c r="D89" s="1" t="s">
        <v>147</v>
      </c>
      <c r="E89" s="1" t="s">
        <v>172</v>
      </c>
      <c r="F89" s="1" t="s">
        <v>13</v>
      </c>
      <c r="G89" s="1" t="s">
        <v>247</v>
      </c>
      <c r="K89" s="1">
        <v>99.4</v>
      </c>
      <c r="L89" s="9">
        <f t="shared" si="2"/>
        <v>0.99400000000000011</v>
      </c>
      <c r="M89" s="8">
        <f t="shared" si="3"/>
        <v>22.21848749616364</v>
      </c>
      <c r="N89" s="8"/>
      <c r="O89" s="1" t="s">
        <v>258</v>
      </c>
    </row>
    <row r="90" spans="1:15" x14ac:dyDescent="0.3">
      <c r="A90" s="1" t="s">
        <v>1</v>
      </c>
      <c r="B90" s="1" t="s">
        <v>248</v>
      </c>
      <c r="C90" s="1" t="s">
        <v>129</v>
      </c>
      <c r="D90" s="1" t="s">
        <v>147</v>
      </c>
      <c r="E90" s="1" t="s">
        <v>31</v>
      </c>
      <c r="F90" s="1" t="s">
        <v>13</v>
      </c>
      <c r="G90" s="1" t="s">
        <v>249</v>
      </c>
      <c r="K90" s="1">
        <v>92</v>
      </c>
      <c r="L90" s="9">
        <f t="shared" si="2"/>
        <v>0.92</v>
      </c>
      <c r="M90" s="8">
        <f t="shared" si="3"/>
        <v>10.969100130080566</v>
      </c>
      <c r="N90" s="8"/>
      <c r="O90" s="1" t="s">
        <v>258</v>
      </c>
    </row>
    <row r="91" spans="1:15" x14ac:dyDescent="0.3">
      <c r="A91" s="1" t="s">
        <v>1</v>
      </c>
      <c r="B91" s="1" t="s">
        <v>164</v>
      </c>
      <c r="C91" s="1" t="s">
        <v>128</v>
      </c>
      <c r="D91" s="1" t="s">
        <v>12</v>
      </c>
      <c r="E91" s="1" t="s">
        <v>72</v>
      </c>
      <c r="F91" s="1" t="s">
        <v>13</v>
      </c>
      <c r="G91" s="1">
        <v>3.5</v>
      </c>
      <c r="K91" s="1">
        <v>94.3</v>
      </c>
      <c r="L91" s="9">
        <f t="shared" si="2"/>
        <v>0.94299999999999995</v>
      </c>
      <c r="M91" s="8">
        <f t="shared" si="3"/>
        <v>12.441251443275082</v>
      </c>
      <c r="N91" s="8"/>
      <c r="O91" s="1" t="s">
        <v>258</v>
      </c>
    </row>
    <row r="92" spans="1:15" x14ac:dyDescent="0.3">
      <c r="A92" s="1" t="s">
        <v>1</v>
      </c>
      <c r="B92" s="1" t="s">
        <v>167</v>
      </c>
      <c r="C92" s="1" t="s">
        <v>166</v>
      </c>
      <c r="D92" s="1" t="s">
        <v>12</v>
      </c>
      <c r="E92" s="1" t="s">
        <v>165</v>
      </c>
      <c r="F92" s="1" t="s">
        <v>13</v>
      </c>
      <c r="G92" s="1">
        <v>3.5</v>
      </c>
      <c r="K92" s="1">
        <v>93.3</v>
      </c>
      <c r="L92" s="9">
        <f t="shared" si="2"/>
        <v>0.93299999999999994</v>
      </c>
      <c r="M92" s="8">
        <f t="shared" si="3"/>
        <v>11.739251972991731</v>
      </c>
      <c r="N92" s="8"/>
      <c r="O92" s="1" t="s">
        <v>258</v>
      </c>
    </row>
    <row r="93" spans="1:15" x14ac:dyDescent="0.3">
      <c r="A93" s="1" t="s">
        <v>1</v>
      </c>
      <c r="B93" s="1" t="s">
        <v>168</v>
      </c>
      <c r="C93" s="1" t="s">
        <v>169</v>
      </c>
      <c r="D93" s="1" t="s">
        <v>12</v>
      </c>
      <c r="E93" s="1" t="s">
        <v>80</v>
      </c>
      <c r="F93" s="1" t="s">
        <v>13</v>
      </c>
      <c r="G93" s="1">
        <v>3.5</v>
      </c>
      <c r="K93" s="1">
        <v>83.97</v>
      </c>
      <c r="L93" s="9">
        <f t="shared" si="2"/>
        <v>0.8397</v>
      </c>
      <c r="M93" s="8">
        <f t="shared" si="3"/>
        <v>7.9506647764585523</v>
      </c>
      <c r="N93" s="8"/>
      <c r="O93" s="1" t="s">
        <v>258</v>
      </c>
    </row>
    <row r="94" spans="1:15" x14ac:dyDescent="0.3">
      <c r="A94" s="1" t="s">
        <v>1</v>
      </c>
      <c r="B94" s="1" t="s">
        <v>106</v>
      </c>
      <c r="C94" s="1" t="s">
        <v>105</v>
      </c>
      <c r="D94" s="1" t="s">
        <v>209</v>
      </c>
      <c r="E94" s="1" t="s">
        <v>31</v>
      </c>
      <c r="F94" s="1" t="s">
        <v>13</v>
      </c>
      <c r="G94" s="1">
        <v>3.5</v>
      </c>
      <c r="K94" s="1">
        <v>80.5</v>
      </c>
      <c r="L94" s="9">
        <f t="shared" si="2"/>
        <v>0.80500000000000005</v>
      </c>
      <c r="M94" s="8">
        <f t="shared" si="3"/>
        <v>7.0996538863748215</v>
      </c>
      <c r="N94" s="8"/>
      <c r="O94" s="1" t="s">
        <v>258</v>
      </c>
    </row>
    <row r="95" spans="1:15" x14ac:dyDescent="0.3">
      <c r="A95" s="1" t="s">
        <v>1</v>
      </c>
      <c r="B95" s="1" t="s">
        <v>250</v>
      </c>
      <c r="C95" s="1" t="s">
        <v>157</v>
      </c>
      <c r="D95" s="1" t="s">
        <v>147</v>
      </c>
      <c r="E95" s="1" t="s">
        <v>31</v>
      </c>
      <c r="F95" s="1" t="s">
        <v>13</v>
      </c>
      <c r="G95" s="1" t="s">
        <v>235</v>
      </c>
      <c r="K95" s="1">
        <v>85.3</v>
      </c>
      <c r="L95" s="9">
        <f t="shared" si="2"/>
        <v>0.85299999999999998</v>
      </c>
      <c r="M95" s="8">
        <f t="shared" si="3"/>
        <v>8.3268266525182373</v>
      </c>
      <c r="N95" s="8"/>
      <c r="O95" s="1" t="s">
        <v>258</v>
      </c>
    </row>
    <row r="96" spans="1:15" x14ac:dyDescent="0.3">
      <c r="A96" s="1" t="s">
        <v>1</v>
      </c>
      <c r="B96" s="1" t="s">
        <v>143</v>
      </c>
      <c r="C96" s="1" t="s">
        <v>144</v>
      </c>
      <c r="D96" s="1" t="s">
        <v>22</v>
      </c>
      <c r="E96" s="1" t="s">
        <v>72</v>
      </c>
      <c r="F96" s="1" t="s">
        <v>13</v>
      </c>
      <c r="G96" s="1">
        <v>3</v>
      </c>
      <c r="K96" s="1">
        <v>38.54</v>
      </c>
      <c r="L96" s="9">
        <f t="shared" si="2"/>
        <v>0.38539999999999996</v>
      </c>
      <c r="M96" s="8">
        <f t="shared" si="3"/>
        <v>2.1140744407964061</v>
      </c>
      <c r="N96" s="8"/>
      <c r="O96" s="1" t="s">
        <v>258</v>
      </c>
    </row>
    <row r="97" spans="1:15" x14ac:dyDescent="0.3">
      <c r="A97" s="1" t="s">
        <v>1</v>
      </c>
      <c r="B97" s="1" t="s">
        <v>161</v>
      </c>
      <c r="C97" s="1" t="s">
        <v>160</v>
      </c>
      <c r="D97" s="1" t="s">
        <v>85</v>
      </c>
      <c r="E97" s="1" t="s">
        <v>72</v>
      </c>
      <c r="F97" s="1" t="s">
        <v>13</v>
      </c>
      <c r="G97" s="1">
        <v>3</v>
      </c>
      <c r="K97" s="1">
        <v>71.400000000000006</v>
      </c>
      <c r="L97" s="9">
        <f t="shared" si="2"/>
        <v>0.71400000000000008</v>
      </c>
      <c r="M97" s="8">
        <f t="shared" si="3"/>
        <v>5.4363396687095715</v>
      </c>
      <c r="N97" s="8"/>
      <c r="O97" s="1" t="s">
        <v>258</v>
      </c>
    </row>
    <row r="98" spans="1:15" x14ac:dyDescent="0.3">
      <c r="A98" s="1" t="s">
        <v>1</v>
      </c>
      <c r="B98" s="1" t="s">
        <v>251</v>
      </c>
      <c r="C98" s="1" t="s">
        <v>155</v>
      </c>
      <c r="D98" s="1" t="s">
        <v>147</v>
      </c>
      <c r="E98" s="1" t="s">
        <v>31</v>
      </c>
      <c r="F98" s="1" t="s">
        <v>13</v>
      </c>
      <c r="G98" s="1" t="s">
        <v>235</v>
      </c>
      <c r="J98" s="1" t="s">
        <v>253</v>
      </c>
      <c r="K98" s="1">
        <v>93.4</v>
      </c>
      <c r="L98" s="9">
        <f t="shared" si="2"/>
        <v>0.93400000000000005</v>
      </c>
      <c r="M98" s="8">
        <f t="shared" si="3"/>
        <v>11.804560644581317</v>
      </c>
      <c r="N98" s="8"/>
      <c r="O98" s="1" t="s">
        <v>258</v>
      </c>
    </row>
    <row r="99" spans="1:15" x14ac:dyDescent="0.3">
      <c r="A99" s="1" t="s">
        <v>1</v>
      </c>
      <c r="B99" s="1" t="s">
        <v>252</v>
      </c>
      <c r="C99" s="1" t="s">
        <v>189</v>
      </c>
      <c r="D99" s="1" t="s">
        <v>147</v>
      </c>
      <c r="E99" s="1" t="s">
        <v>31</v>
      </c>
      <c r="F99" s="1" t="s">
        <v>13</v>
      </c>
      <c r="G99" s="1" t="s">
        <v>235</v>
      </c>
      <c r="J99" s="1" t="s">
        <v>253</v>
      </c>
      <c r="K99" s="1">
        <v>98.4</v>
      </c>
      <c r="L99" s="9">
        <f t="shared" si="2"/>
        <v>0.9840000000000001</v>
      </c>
      <c r="M99" s="8">
        <f t="shared" si="3"/>
        <v>17.958800173440778</v>
      </c>
      <c r="N99" s="8"/>
      <c r="O99" s="1" t="s">
        <v>258</v>
      </c>
    </row>
    <row r="100" spans="1:15" x14ac:dyDescent="0.3">
      <c r="A100" s="1" t="s">
        <v>1</v>
      </c>
      <c r="B100" s="1" t="s">
        <v>254</v>
      </c>
      <c r="C100" s="1" t="s">
        <v>153</v>
      </c>
      <c r="D100" s="1" t="s">
        <v>147</v>
      </c>
      <c r="E100" s="1" t="s">
        <v>31</v>
      </c>
      <c r="F100" s="1" t="s">
        <v>13</v>
      </c>
      <c r="G100" s="1" t="s">
        <v>235</v>
      </c>
      <c r="J100" s="1" t="s">
        <v>253</v>
      </c>
      <c r="K100" s="1">
        <v>99.4</v>
      </c>
      <c r="L100" s="9">
        <f t="shared" si="2"/>
        <v>0.99400000000000011</v>
      </c>
      <c r="M100" s="8">
        <f t="shared" si="3"/>
        <v>22.21848749616364</v>
      </c>
      <c r="N100" s="8"/>
      <c r="O100" s="1" t="s">
        <v>258</v>
      </c>
    </row>
    <row r="101" spans="1:15" x14ac:dyDescent="0.3">
      <c r="A101" s="1" t="s">
        <v>1</v>
      </c>
      <c r="B101" s="1" t="s">
        <v>256</v>
      </c>
      <c r="C101" s="1" t="s">
        <v>255</v>
      </c>
      <c r="D101" s="1" t="s">
        <v>147</v>
      </c>
      <c r="E101" s="1" t="s">
        <v>257</v>
      </c>
      <c r="F101" s="1" t="s">
        <v>13</v>
      </c>
      <c r="G101" s="1" t="s">
        <v>235</v>
      </c>
      <c r="J101" s="1">
        <v>40</v>
      </c>
      <c r="K101" s="1">
        <v>91.77</v>
      </c>
      <c r="L101" s="9">
        <f t="shared" si="2"/>
        <v>0.91769999999999996</v>
      </c>
      <c r="M101" s="8">
        <f t="shared" si="3"/>
        <v>10.8460016478773</v>
      </c>
      <c r="N101" s="8"/>
      <c r="O101" s="1" t="s">
        <v>258</v>
      </c>
    </row>
    <row r="102" spans="1:15" x14ac:dyDescent="0.3">
      <c r="A102" s="1" t="s">
        <v>1</v>
      </c>
      <c r="B102" s="1" t="s">
        <v>102</v>
      </c>
      <c r="C102" s="1" t="s">
        <v>101</v>
      </c>
      <c r="D102" s="1" t="s">
        <v>85</v>
      </c>
      <c r="E102" s="1" t="s">
        <v>100</v>
      </c>
      <c r="F102" s="1" t="s">
        <v>13</v>
      </c>
      <c r="G102" s="1">
        <v>3.5</v>
      </c>
      <c r="K102" s="1">
        <v>97.1</v>
      </c>
      <c r="L102" s="9">
        <f t="shared" si="2"/>
        <v>0.97099999999999997</v>
      </c>
      <c r="M102" s="8">
        <f t="shared" si="3"/>
        <v>15.376020021010435</v>
      </c>
      <c r="N102" s="8"/>
      <c r="O102" s="1" t="s">
        <v>258</v>
      </c>
    </row>
    <row r="103" spans="1:15" x14ac:dyDescent="0.3">
      <c r="A103" s="1" t="s">
        <v>1</v>
      </c>
      <c r="B103" s="1" t="s">
        <v>98</v>
      </c>
      <c r="C103" s="1" t="s">
        <v>99</v>
      </c>
      <c r="D103" s="1" t="s">
        <v>85</v>
      </c>
      <c r="E103" s="1" t="s">
        <v>100</v>
      </c>
      <c r="F103" s="1" t="s">
        <v>13</v>
      </c>
      <c r="G103" s="1">
        <v>3.5</v>
      </c>
      <c r="K103" s="1">
        <v>97.5</v>
      </c>
      <c r="L103" s="9">
        <f t="shared" si="2"/>
        <v>0.97499999999999998</v>
      </c>
      <c r="M103" s="8">
        <f t="shared" si="3"/>
        <v>16.020599913279622</v>
      </c>
      <c r="N103" s="8"/>
      <c r="O103" s="1" t="s">
        <v>258</v>
      </c>
    </row>
    <row r="104" spans="1:15" x14ac:dyDescent="0.3">
      <c r="A104" s="1" t="s">
        <v>1</v>
      </c>
      <c r="B104" s="1" t="s">
        <v>260</v>
      </c>
      <c r="C104" s="1" t="s">
        <v>262</v>
      </c>
      <c r="D104" s="1" t="s">
        <v>69</v>
      </c>
      <c r="E104" s="1" t="s">
        <v>31</v>
      </c>
      <c r="F104" s="1" t="s">
        <v>13</v>
      </c>
      <c r="G104" s="1">
        <v>3.5</v>
      </c>
      <c r="K104" s="1">
        <v>89</v>
      </c>
      <c r="L104" s="9">
        <f t="shared" si="2"/>
        <v>0.89</v>
      </c>
      <c r="M104" s="8">
        <f t="shared" si="3"/>
        <v>9.5860731484177499</v>
      </c>
      <c r="N104" s="8"/>
      <c r="O104" s="1" t="s">
        <v>261</v>
      </c>
    </row>
    <row r="105" spans="1:15" x14ac:dyDescent="0.3">
      <c r="A105" s="1" t="s">
        <v>264</v>
      </c>
      <c r="B105" s="1" t="s">
        <v>263</v>
      </c>
      <c r="C105" s="1" t="s">
        <v>32</v>
      </c>
      <c r="D105" s="1" t="s">
        <v>22</v>
      </c>
      <c r="E105" s="1" t="s">
        <v>31</v>
      </c>
      <c r="F105" s="1" t="s">
        <v>13</v>
      </c>
      <c r="G105" s="1">
        <v>3</v>
      </c>
      <c r="H105" s="1">
        <v>1</v>
      </c>
      <c r="K105" s="1">
        <v>97.3</v>
      </c>
      <c r="L105" s="9">
        <f t="shared" si="2"/>
        <v>0.97299999999999998</v>
      </c>
      <c r="M105" s="8">
        <f t="shared" si="3"/>
        <v>15.686362358410122</v>
      </c>
      <c r="N105" s="8"/>
      <c r="O105" s="1" t="s">
        <v>265</v>
      </c>
    </row>
    <row r="106" spans="1:15" x14ac:dyDescent="0.3">
      <c r="A106" s="1" t="s">
        <v>264</v>
      </c>
      <c r="B106" s="1" t="s">
        <v>266</v>
      </c>
      <c r="C106" s="1" t="s">
        <v>267</v>
      </c>
      <c r="D106" s="1" t="s">
        <v>12</v>
      </c>
      <c r="E106" s="1" t="s">
        <v>31</v>
      </c>
      <c r="F106" s="1" t="s">
        <v>13</v>
      </c>
      <c r="G106" s="1">
        <v>3</v>
      </c>
      <c r="H106" s="1">
        <v>1</v>
      </c>
      <c r="K106" s="1">
        <v>80</v>
      </c>
      <c r="L106" s="9">
        <f t="shared" si="2"/>
        <v>0.8</v>
      </c>
      <c r="M106" s="8">
        <f t="shared" si="3"/>
        <v>6.9897000433601884</v>
      </c>
      <c r="N106" s="8"/>
      <c r="O106" s="1" t="s">
        <v>270</v>
      </c>
    </row>
    <row r="107" spans="1:15" x14ac:dyDescent="0.3">
      <c r="A107" s="1" t="s">
        <v>264</v>
      </c>
      <c r="B107" s="1" t="s">
        <v>269</v>
      </c>
      <c r="C107" s="1" t="s">
        <v>268</v>
      </c>
      <c r="D107" s="1" t="s">
        <v>141</v>
      </c>
      <c r="E107" s="1" t="s">
        <v>31</v>
      </c>
      <c r="F107" s="1" t="s">
        <v>13</v>
      </c>
      <c r="G107" s="1">
        <v>3.5</v>
      </c>
      <c r="K107" s="1">
        <v>74.8</v>
      </c>
      <c r="L107" s="9">
        <f t="shared" si="2"/>
        <v>0.748</v>
      </c>
      <c r="M107" s="8">
        <f t="shared" si="3"/>
        <v>5.985994592184559</v>
      </c>
      <c r="N107" s="8"/>
      <c r="O107" s="1" t="s">
        <v>271</v>
      </c>
    </row>
    <row r="108" spans="1:15" x14ac:dyDescent="0.3">
      <c r="A108" s="1" t="s">
        <v>1</v>
      </c>
      <c r="B108" s="1" t="s">
        <v>43</v>
      </c>
      <c r="C108" s="1" t="s">
        <v>272</v>
      </c>
      <c r="D108" s="1" t="s">
        <v>109</v>
      </c>
      <c r="E108" s="1" t="s">
        <v>31</v>
      </c>
      <c r="F108" s="1" t="s">
        <v>13</v>
      </c>
      <c r="G108" s="1">
        <v>3.5</v>
      </c>
      <c r="H108" s="1">
        <v>1</v>
      </c>
      <c r="K108" s="1">
        <v>92.8</v>
      </c>
      <c r="L108" s="9">
        <f t="shared" si="2"/>
        <v>0.92799999999999994</v>
      </c>
      <c r="M108" s="8">
        <f t="shared" si="3"/>
        <v>11.426675035687312</v>
      </c>
      <c r="N108" s="8"/>
      <c r="O108" s="1" t="s">
        <v>273</v>
      </c>
    </row>
    <row r="109" spans="1:15" x14ac:dyDescent="0.3">
      <c r="A109" s="1" t="s">
        <v>264</v>
      </c>
      <c r="B109" s="1" t="s">
        <v>275</v>
      </c>
      <c r="C109" s="1" t="s">
        <v>274</v>
      </c>
      <c r="D109" s="1" t="s">
        <v>240</v>
      </c>
      <c r="E109" s="1" t="s">
        <v>31</v>
      </c>
      <c r="F109" s="1" t="s">
        <v>276</v>
      </c>
      <c r="K109" s="1">
        <v>87.5</v>
      </c>
      <c r="L109" s="9">
        <f t="shared" si="2"/>
        <v>0.875</v>
      </c>
      <c r="M109" s="8">
        <f t="shared" si="3"/>
        <v>9.0308998699194358</v>
      </c>
      <c r="N109" s="8"/>
      <c r="O109" s="1" t="s">
        <v>277</v>
      </c>
    </row>
    <row r="110" spans="1:15" x14ac:dyDescent="0.3">
      <c r="A110" s="1" t="s">
        <v>280</v>
      </c>
      <c r="B110" s="1" t="s">
        <v>279</v>
      </c>
      <c r="C110" s="1" t="s">
        <v>278</v>
      </c>
      <c r="D110" s="1" t="s">
        <v>240</v>
      </c>
      <c r="E110" s="1" t="s">
        <v>25</v>
      </c>
      <c r="F110" s="1" t="s">
        <v>13</v>
      </c>
      <c r="G110" s="1">
        <v>3</v>
      </c>
      <c r="H110" s="1">
        <v>1</v>
      </c>
      <c r="K110" s="1">
        <v>97.28</v>
      </c>
      <c r="L110" s="9">
        <f t="shared" si="2"/>
        <v>0.9728</v>
      </c>
      <c r="M110" s="8">
        <f t="shared" si="3"/>
        <v>15.654310959658012</v>
      </c>
      <c r="N110" s="8"/>
      <c r="O110" s="1" t="s">
        <v>281</v>
      </c>
    </row>
    <row r="111" spans="1:15" x14ac:dyDescent="0.3">
      <c r="A111" s="1" t="s">
        <v>264</v>
      </c>
      <c r="B111" s="1" t="s">
        <v>282</v>
      </c>
      <c r="C111" s="1" t="s">
        <v>284</v>
      </c>
      <c r="D111" s="1" t="s">
        <v>109</v>
      </c>
      <c r="F111" s="1" t="s">
        <v>13</v>
      </c>
      <c r="G111" s="1" t="s">
        <v>235</v>
      </c>
      <c r="H111" s="1">
        <v>0.5</v>
      </c>
      <c r="K111" s="1">
        <v>88</v>
      </c>
      <c r="L111" s="9">
        <f t="shared" si="2"/>
        <v>0.88</v>
      </c>
      <c r="M111" s="8">
        <f t="shared" si="3"/>
        <v>9.2081875395237525</v>
      </c>
      <c r="N111" s="8"/>
      <c r="O111" s="1" t="s">
        <v>289</v>
      </c>
    </row>
    <row r="112" spans="1:15" x14ac:dyDescent="0.3">
      <c r="A112" s="1" t="s">
        <v>264</v>
      </c>
      <c r="B112" s="1" t="s">
        <v>283</v>
      </c>
      <c r="C112" s="1" t="s">
        <v>285</v>
      </c>
      <c r="D112" s="1" t="s">
        <v>109</v>
      </c>
      <c r="F112" s="1" t="s">
        <v>13</v>
      </c>
      <c r="G112" s="1" t="s">
        <v>235</v>
      </c>
      <c r="H112" s="1">
        <v>0.5</v>
      </c>
      <c r="K112" s="1">
        <v>86</v>
      </c>
      <c r="L112" s="9">
        <f t="shared" si="2"/>
        <v>0.86</v>
      </c>
      <c r="M112" s="8">
        <f t="shared" si="3"/>
        <v>8.53871964321762</v>
      </c>
      <c r="N112" s="8"/>
      <c r="O112" s="1" t="s">
        <v>289</v>
      </c>
    </row>
    <row r="113" spans="1:15" x14ac:dyDescent="0.3">
      <c r="A113" s="1" t="s">
        <v>1</v>
      </c>
      <c r="B113" s="1" t="s">
        <v>175</v>
      </c>
      <c r="C113" s="1" t="s">
        <v>174</v>
      </c>
      <c r="D113" s="1" t="s">
        <v>171</v>
      </c>
      <c r="E113" s="1" t="s">
        <v>31</v>
      </c>
      <c r="F113" s="1" t="s">
        <v>288</v>
      </c>
      <c r="H113" s="1">
        <v>0.5</v>
      </c>
      <c r="K113" s="1">
        <v>73.680000000000007</v>
      </c>
      <c r="L113" s="9">
        <f t="shared" si="2"/>
        <v>0.73680000000000012</v>
      </c>
      <c r="M113" s="8">
        <f t="shared" si="3"/>
        <v>5.7971411505808232</v>
      </c>
      <c r="N113" s="8"/>
      <c r="O113" s="1" t="s">
        <v>290</v>
      </c>
    </row>
    <row r="114" spans="1:15" x14ac:dyDescent="0.3">
      <c r="A114" s="1" t="s">
        <v>1</v>
      </c>
      <c r="B114" s="1" t="s">
        <v>286</v>
      </c>
      <c r="C114" s="1" t="s">
        <v>287</v>
      </c>
      <c r="D114" s="1" t="s">
        <v>171</v>
      </c>
      <c r="E114" s="1" t="s">
        <v>31</v>
      </c>
      <c r="F114" s="1" t="s">
        <v>288</v>
      </c>
      <c r="H114" s="1">
        <v>0.5</v>
      </c>
      <c r="K114" s="1">
        <v>80.05</v>
      </c>
      <c r="L114" s="9">
        <f t="shared" si="2"/>
        <v>0.80049999999999999</v>
      </c>
      <c r="M114" s="8">
        <f t="shared" si="3"/>
        <v>7.0005709997723296</v>
      </c>
      <c r="N114" s="8"/>
      <c r="O114" s="1" t="s">
        <v>290</v>
      </c>
    </row>
    <row r="115" spans="1:15" x14ac:dyDescent="0.3">
      <c r="A115" s="1" t="s">
        <v>293</v>
      </c>
      <c r="B115" s="1" t="s">
        <v>292</v>
      </c>
      <c r="C115" s="1" t="s">
        <v>291</v>
      </c>
      <c r="D115" s="1" t="s">
        <v>69</v>
      </c>
      <c r="E115" s="1" t="s">
        <v>31</v>
      </c>
      <c r="F115" s="1" t="s">
        <v>13</v>
      </c>
      <c r="G115" s="1">
        <v>3</v>
      </c>
      <c r="H115" s="1">
        <v>0.5</v>
      </c>
      <c r="K115" s="1">
        <v>90.24</v>
      </c>
      <c r="L115" s="9">
        <f t="shared" si="2"/>
        <v>0.90239999999999998</v>
      </c>
      <c r="M115" s="8">
        <f t="shared" si="3"/>
        <v>10.10550182333308</v>
      </c>
      <c r="N115" s="8"/>
      <c r="O115" s="1" t="s">
        <v>296</v>
      </c>
    </row>
    <row r="116" spans="1:15" x14ac:dyDescent="0.3">
      <c r="A116" s="1" t="s">
        <v>293</v>
      </c>
      <c r="B116" s="1" t="s">
        <v>294</v>
      </c>
      <c r="C116" s="1" t="s">
        <v>295</v>
      </c>
      <c r="D116" s="1" t="s">
        <v>69</v>
      </c>
      <c r="E116" s="1" t="s">
        <v>31</v>
      </c>
      <c r="F116" s="1" t="s">
        <v>13</v>
      </c>
      <c r="G116" s="1">
        <v>3</v>
      </c>
      <c r="H116" s="1">
        <v>0.5</v>
      </c>
      <c r="K116" s="1">
        <v>93.73</v>
      </c>
      <c r="L116" s="9">
        <f t="shared" si="2"/>
        <v>0.93730000000000002</v>
      </c>
      <c r="M116" s="8">
        <f t="shared" si="3"/>
        <v>12.027324591692835</v>
      </c>
      <c r="N116" s="8"/>
      <c r="O116" s="1" t="s">
        <v>296</v>
      </c>
    </row>
    <row r="117" spans="1:15" x14ac:dyDescent="0.3">
      <c r="A117" s="1" t="s">
        <v>264</v>
      </c>
      <c r="B117" s="1" t="s">
        <v>298</v>
      </c>
      <c r="C117" s="1" t="s">
        <v>297</v>
      </c>
      <c r="D117" s="1" t="s">
        <v>141</v>
      </c>
      <c r="E117" s="1" t="s">
        <v>31</v>
      </c>
      <c r="F117" s="1" t="s">
        <v>182</v>
      </c>
      <c r="H117" s="1">
        <v>0.5</v>
      </c>
      <c r="K117" s="1">
        <v>88.98</v>
      </c>
      <c r="L117" s="9">
        <f t="shared" si="2"/>
        <v>0.88980000000000004</v>
      </c>
      <c r="M117" s="8">
        <f t="shared" si="3"/>
        <v>9.5781840548423389</v>
      </c>
      <c r="N117" s="8"/>
      <c r="O117" s="1" t="s">
        <v>299</v>
      </c>
    </row>
    <row r="118" spans="1:15" x14ac:dyDescent="0.3">
      <c r="A118" s="1" t="s">
        <v>264</v>
      </c>
      <c r="B118" s="1" t="s">
        <v>301</v>
      </c>
      <c r="C118" s="1" t="s">
        <v>300</v>
      </c>
      <c r="D118" s="1" t="s">
        <v>141</v>
      </c>
      <c r="F118" s="1" t="s">
        <v>182</v>
      </c>
      <c r="H118" s="1">
        <v>0.5</v>
      </c>
      <c r="K118" s="1">
        <v>91.82</v>
      </c>
      <c r="L118" s="9">
        <f t="shared" si="2"/>
        <v>0.91819999999999991</v>
      </c>
      <c r="M118" s="8">
        <f t="shared" si="3"/>
        <v>10.872466963286765</v>
      </c>
      <c r="N118" s="8"/>
      <c r="O118" s="1" t="s">
        <v>299</v>
      </c>
    </row>
    <row r="119" spans="1:15" x14ac:dyDescent="0.3">
      <c r="A119" s="1" t="s">
        <v>1</v>
      </c>
      <c r="B119" s="1" t="s">
        <v>304</v>
      </c>
      <c r="C119" s="1" t="s">
        <v>303</v>
      </c>
      <c r="D119" s="1" t="s">
        <v>240</v>
      </c>
      <c r="E119" s="1">
        <v>3</v>
      </c>
      <c r="F119" s="1" t="s">
        <v>13</v>
      </c>
      <c r="K119" s="1">
        <v>99.8</v>
      </c>
      <c r="L119" s="9">
        <f t="shared" si="2"/>
        <v>0.998</v>
      </c>
      <c r="M119" s="8">
        <f t="shared" si="3"/>
        <v>26.989700043360184</v>
      </c>
      <c r="N119" s="8"/>
      <c r="O119" s="1" t="s">
        <v>302</v>
      </c>
    </row>
    <row r="120" spans="1:15" x14ac:dyDescent="0.3">
      <c r="A120" s="1" t="s">
        <v>1</v>
      </c>
      <c r="B120" s="1" t="s">
        <v>306</v>
      </c>
      <c r="C120" s="1" t="s">
        <v>305</v>
      </c>
      <c r="D120" s="1" t="s">
        <v>307</v>
      </c>
      <c r="E120" s="1" t="s">
        <v>150</v>
      </c>
      <c r="F120" s="1" t="s">
        <v>13</v>
      </c>
      <c r="G120" s="1" t="s">
        <v>249</v>
      </c>
      <c r="H120" s="1">
        <v>1</v>
      </c>
      <c r="K120" s="1">
        <v>97.4</v>
      </c>
      <c r="L120" s="9">
        <f t="shared" si="2"/>
        <v>0.97400000000000009</v>
      </c>
      <c r="M120" s="8">
        <f t="shared" si="3"/>
        <v>15.850266520291836</v>
      </c>
      <c r="N120" s="8"/>
      <c r="O120" s="1" t="s">
        <v>308</v>
      </c>
    </row>
    <row r="121" spans="1:15" x14ac:dyDescent="0.3">
      <c r="A121" s="1" t="s">
        <v>1</v>
      </c>
      <c r="B121" s="1" t="s">
        <v>310</v>
      </c>
      <c r="C121" s="1" t="s">
        <v>309</v>
      </c>
      <c r="D121" s="1" t="s">
        <v>311</v>
      </c>
      <c r="F121" s="1" t="s">
        <v>13</v>
      </c>
      <c r="G121" s="1" t="s">
        <v>235</v>
      </c>
      <c r="K121" s="1">
        <v>68</v>
      </c>
      <c r="L121" s="9">
        <f t="shared" si="2"/>
        <v>0.68</v>
      </c>
      <c r="M121" s="8">
        <f t="shared" si="3"/>
        <v>4.9485002168009409</v>
      </c>
      <c r="N121" s="8"/>
      <c r="O121" s="1" t="s">
        <v>312</v>
      </c>
    </row>
    <row r="122" spans="1:15" x14ac:dyDescent="0.3">
      <c r="A122" s="1" t="s">
        <v>1</v>
      </c>
      <c r="B122" s="1" t="s">
        <v>313</v>
      </c>
      <c r="C122" s="1" t="s">
        <v>314</v>
      </c>
      <c r="D122" s="1" t="s">
        <v>141</v>
      </c>
      <c r="F122" s="1" t="s">
        <v>13</v>
      </c>
      <c r="G122" s="1" t="s">
        <v>235</v>
      </c>
      <c r="K122" s="1">
        <v>99</v>
      </c>
      <c r="L122" s="9">
        <f t="shared" si="2"/>
        <v>0.99</v>
      </c>
      <c r="M122" s="8">
        <f t="shared" si="3"/>
        <v>19.999999999999996</v>
      </c>
      <c r="N122" s="8"/>
      <c r="O122" s="1" t="s">
        <v>315</v>
      </c>
    </row>
    <row r="123" spans="1:15" x14ac:dyDescent="0.3">
      <c r="A123" s="1" t="s">
        <v>1</v>
      </c>
      <c r="B123" s="1" t="s">
        <v>316</v>
      </c>
      <c r="C123" s="1" t="s">
        <v>83</v>
      </c>
      <c r="D123" s="1" t="s">
        <v>85</v>
      </c>
      <c r="F123" s="1" t="s">
        <v>13</v>
      </c>
      <c r="G123" s="1">
        <v>3.5</v>
      </c>
      <c r="K123" s="1">
        <v>99</v>
      </c>
      <c r="L123" s="9">
        <f t="shared" si="2"/>
        <v>0.99</v>
      </c>
      <c r="M123" s="8">
        <f t="shared" si="3"/>
        <v>19.999999999999996</v>
      </c>
      <c r="N123" s="8"/>
      <c r="O123" s="1" t="s">
        <v>315</v>
      </c>
    </row>
    <row r="124" spans="1:15" x14ac:dyDescent="0.3">
      <c r="A124" s="1" t="s">
        <v>1</v>
      </c>
      <c r="B124" s="1" t="s">
        <v>317</v>
      </c>
      <c r="C124" s="1" t="s">
        <v>318</v>
      </c>
      <c r="D124" s="1" t="s">
        <v>85</v>
      </c>
      <c r="F124" s="1" t="s">
        <v>13</v>
      </c>
      <c r="G124" s="1">
        <v>3.5</v>
      </c>
      <c r="K124" s="1">
        <v>68</v>
      </c>
      <c r="L124" s="9">
        <f t="shared" si="2"/>
        <v>0.68</v>
      </c>
      <c r="M124" s="8">
        <f t="shared" si="3"/>
        <v>4.9485002168009409</v>
      </c>
      <c r="N124" s="8"/>
      <c r="O124" s="1" t="s">
        <v>315</v>
      </c>
    </row>
    <row r="125" spans="1:15" x14ac:dyDescent="0.3">
      <c r="A125" s="1" t="s">
        <v>264</v>
      </c>
      <c r="B125" s="1" t="s">
        <v>320</v>
      </c>
      <c r="C125" s="1" t="s">
        <v>319</v>
      </c>
      <c r="D125" s="1" t="s">
        <v>321</v>
      </c>
      <c r="E125" s="1" t="s">
        <v>31</v>
      </c>
      <c r="F125" s="1" t="s">
        <v>322</v>
      </c>
      <c r="H125" s="1">
        <v>0.5</v>
      </c>
      <c r="K125" s="1">
        <v>58</v>
      </c>
      <c r="L125" s="9">
        <f t="shared" si="2"/>
        <v>0.57999999999999996</v>
      </c>
      <c r="M125" s="8">
        <f t="shared" si="3"/>
        <v>3.7675070960209958</v>
      </c>
      <c r="N125" s="8"/>
      <c r="O125" s="1" t="s">
        <v>323</v>
      </c>
    </row>
    <row r="126" spans="1:15" ht="28.8" x14ac:dyDescent="0.3">
      <c r="A126" s="1" t="s">
        <v>264</v>
      </c>
      <c r="B126" s="7" t="s">
        <v>325</v>
      </c>
      <c r="C126" s="1" t="s">
        <v>324</v>
      </c>
      <c r="D126" s="1" t="s">
        <v>321</v>
      </c>
      <c r="E126" s="1" t="s">
        <v>31</v>
      </c>
      <c r="F126" s="1" t="s">
        <v>322</v>
      </c>
      <c r="H126" s="1">
        <v>0.5</v>
      </c>
      <c r="K126" s="1">
        <v>60</v>
      </c>
      <c r="L126" s="9">
        <f t="shared" si="2"/>
        <v>0.6</v>
      </c>
      <c r="M126" s="8">
        <f t="shared" si="3"/>
        <v>3.9794000867203758</v>
      </c>
      <c r="N126" s="8"/>
      <c r="O126" s="1" t="s">
        <v>323</v>
      </c>
    </row>
    <row r="127" spans="1:15" x14ac:dyDescent="0.3">
      <c r="A127" s="1" t="s">
        <v>264</v>
      </c>
      <c r="B127" s="1" t="s">
        <v>326</v>
      </c>
      <c r="C127" s="1" t="s">
        <v>327</v>
      </c>
      <c r="D127" s="1" t="s">
        <v>321</v>
      </c>
      <c r="E127" s="1" t="s">
        <v>31</v>
      </c>
      <c r="F127" s="1" t="s">
        <v>322</v>
      </c>
      <c r="H127" s="1">
        <v>0.5</v>
      </c>
      <c r="K127" s="1">
        <v>61</v>
      </c>
      <c r="L127" s="9">
        <f t="shared" si="2"/>
        <v>0.61</v>
      </c>
      <c r="M127" s="8">
        <f t="shared" si="3"/>
        <v>4.0893539297350072</v>
      </c>
      <c r="N127" s="8"/>
      <c r="O127" s="1" t="s">
        <v>323</v>
      </c>
    </row>
    <row r="128" spans="1:15" x14ac:dyDescent="0.3">
      <c r="A128" s="1" t="s">
        <v>1</v>
      </c>
      <c r="B128" s="1" t="s">
        <v>330</v>
      </c>
      <c r="C128" s="1" t="s">
        <v>329</v>
      </c>
      <c r="D128" s="1" t="s">
        <v>22</v>
      </c>
      <c r="E128" s="1" t="s">
        <v>23</v>
      </c>
      <c r="F128" s="1" t="s">
        <v>13</v>
      </c>
      <c r="G128" s="1">
        <v>3.5</v>
      </c>
      <c r="J128" s="1" t="s">
        <v>328</v>
      </c>
      <c r="K128" s="1">
        <v>95.1</v>
      </c>
      <c r="L128" s="9">
        <f t="shared" si="2"/>
        <v>0.95099999999999996</v>
      </c>
      <c r="M128" s="8">
        <f t="shared" si="3"/>
        <v>13.09803919971486</v>
      </c>
      <c r="N128" s="8"/>
      <c r="O128" s="1" t="s">
        <v>333</v>
      </c>
    </row>
    <row r="129" spans="1:15" x14ac:dyDescent="0.3">
      <c r="A129" s="1" t="s">
        <v>1</v>
      </c>
      <c r="B129" s="1" t="s">
        <v>334</v>
      </c>
      <c r="C129" s="1" t="s">
        <v>332</v>
      </c>
      <c r="D129" s="1" t="s">
        <v>22</v>
      </c>
      <c r="E129" s="1" t="s">
        <v>331</v>
      </c>
      <c r="F129" s="1" t="s">
        <v>13</v>
      </c>
      <c r="G129" s="1">
        <v>3.5</v>
      </c>
      <c r="J129" s="1" t="s">
        <v>328</v>
      </c>
      <c r="K129" s="1">
        <v>91.2</v>
      </c>
      <c r="L129" s="9">
        <f t="shared" si="2"/>
        <v>0.91200000000000003</v>
      </c>
      <c r="M129" s="8">
        <f t="shared" si="3"/>
        <v>10.555173278498316</v>
      </c>
      <c r="N129" s="8"/>
      <c r="O129" s="1" t="s">
        <v>333</v>
      </c>
    </row>
    <row r="130" spans="1:15" x14ac:dyDescent="0.3">
      <c r="A130" s="1" t="s">
        <v>335</v>
      </c>
      <c r="B130" s="1" t="s">
        <v>336</v>
      </c>
      <c r="C130" s="1" t="s">
        <v>337</v>
      </c>
      <c r="D130" s="1" t="s">
        <v>22</v>
      </c>
      <c r="E130" s="1" t="s">
        <v>31</v>
      </c>
      <c r="F130" s="1" t="s">
        <v>13</v>
      </c>
      <c r="G130" s="1">
        <v>3</v>
      </c>
      <c r="H130" s="1">
        <v>1</v>
      </c>
      <c r="K130" s="1">
        <v>95.9</v>
      </c>
      <c r="L130" s="9">
        <f t="shared" si="2"/>
        <v>0.95900000000000007</v>
      </c>
      <c r="M130" s="8">
        <f t="shared" si="3"/>
        <v>13.872161432802653</v>
      </c>
      <c r="N130" s="8"/>
      <c r="O130" s="1" t="s">
        <v>338</v>
      </c>
    </row>
    <row r="131" spans="1:15" x14ac:dyDescent="0.3">
      <c r="A131" s="1" t="s">
        <v>335</v>
      </c>
      <c r="B131" s="1" t="s">
        <v>339</v>
      </c>
      <c r="C131" s="1" t="s">
        <v>340</v>
      </c>
      <c r="D131" s="1" t="s">
        <v>209</v>
      </c>
      <c r="E131" s="1" t="s">
        <v>31</v>
      </c>
      <c r="F131" s="1" t="s">
        <v>13</v>
      </c>
      <c r="G131" s="1">
        <v>3.5</v>
      </c>
      <c r="H131" s="1">
        <v>0.5</v>
      </c>
      <c r="K131" s="1">
        <v>51.39</v>
      </c>
      <c r="L131" s="9">
        <f t="shared" ref="L131:L194" si="4">K131/100</f>
        <v>0.51390000000000002</v>
      </c>
      <c r="M131" s="8">
        <f t="shared" ref="M131:M178" si="5">10*LOG10(1/(1-L131))</f>
        <v>3.1327437892545786</v>
      </c>
      <c r="N131" s="8"/>
      <c r="O131" s="1" t="s">
        <v>343</v>
      </c>
    </row>
    <row r="132" spans="1:15" x14ac:dyDescent="0.3">
      <c r="A132" s="1" t="s">
        <v>335</v>
      </c>
      <c r="B132" s="1" t="s">
        <v>341</v>
      </c>
      <c r="C132" s="1" t="s">
        <v>342</v>
      </c>
      <c r="D132" s="1" t="s">
        <v>209</v>
      </c>
      <c r="E132" s="1" t="s">
        <v>31</v>
      </c>
      <c r="F132" s="1" t="s">
        <v>13</v>
      </c>
      <c r="G132" s="1">
        <v>3.5</v>
      </c>
      <c r="H132" s="1">
        <v>0.5</v>
      </c>
      <c r="K132" s="1">
        <v>55.74</v>
      </c>
      <c r="L132" s="9">
        <f t="shared" si="4"/>
        <v>0.55740000000000001</v>
      </c>
      <c r="M132" s="8">
        <f t="shared" si="5"/>
        <v>3.5398859040876083</v>
      </c>
      <c r="N132" s="8"/>
      <c r="O132" s="1" t="s">
        <v>343</v>
      </c>
    </row>
    <row r="133" spans="1:15" x14ac:dyDescent="0.3">
      <c r="A133" s="1" t="s">
        <v>335</v>
      </c>
      <c r="B133" s="1" t="s">
        <v>344</v>
      </c>
      <c r="C133" s="1" t="s">
        <v>345</v>
      </c>
      <c r="D133" s="1" t="s">
        <v>171</v>
      </c>
      <c r="E133" s="1" t="s">
        <v>31</v>
      </c>
      <c r="F133" s="1" t="s">
        <v>182</v>
      </c>
      <c r="K133" s="1">
        <v>99.5</v>
      </c>
      <c r="L133" s="9">
        <f t="shared" si="4"/>
        <v>0.995</v>
      </c>
      <c r="M133" s="8">
        <f t="shared" si="5"/>
        <v>23.010299956639809</v>
      </c>
      <c r="N133" s="8"/>
      <c r="O133" s="1" t="s">
        <v>346</v>
      </c>
    </row>
    <row r="134" spans="1:15" x14ac:dyDescent="0.3">
      <c r="A134" s="1" t="s">
        <v>335</v>
      </c>
      <c r="B134" s="1" t="s">
        <v>347</v>
      </c>
      <c r="C134" s="1" t="s">
        <v>348</v>
      </c>
      <c r="D134" s="1" t="s">
        <v>22</v>
      </c>
      <c r="E134" s="1" t="s">
        <v>23</v>
      </c>
      <c r="F134" s="1" t="s">
        <v>182</v>
      </c>
      <c r="K134" s="1">
        <v>87</v>
      </c>
      <c r="L134" s="9">
        <f t="shared" si="4"/>
        <v>0.87</v>
      </c>
      <c r="M134" s="8">
        <f t="shared" si="5"/>
        <v>8.8605664769316324</v>
      </c>
      <c r="N134" s="8"/>
      <c r="O134" s="1" t="s">
        <v>349</v>
      </c>
    </row>
    <row r="135" spans="1:15" x14ac:dyDescent="0.3">
      <c r="A135" s="1" t="s">
        <v>335</v>
      </c>
      <c r="B135" s="1" t="s">
        <v>350</v>
      </c>
      <c r="C135" s="1" t="s">
        <v>189</v>
      </c>
      <c r="D135" s="1" t="s">
        <v>147</v>
      </c>
      <c r="E135" s="1" t="s">
        <v>351</v>
      </c>
      <c r="F135" s="1" t="s">
        <v>352</v>
      </c>
      <c r="H135" s="1">
        <v>2</v>
      </c>
      <c r="K135" s="1">
        <v>94.4</v>
      </c>
      <c r="L135" s="9">
        <f t="shared" si="4"/>
        <v>0.94400000000000006</v>
      </c>
      <c r="M135" s="8">
        <f t="shared" si="5"/>
        <v>12.518119729938</v>
      </c>
      <c r="N135" s="8"/>
      <c r="O135" s="1" t="s">
        <v>353</v>
      </c>
    </row>
    <row r="136" spans="1:15" x14ac:dyDescent="0.3">
      <c r="A136" s="1" t="s">
        <v>355</v>
      </c>
      <c r="B136" s="1" t="s">
        <v>354</v>
      </c>
      <c r="C136" s="1" t="s">
        <v>145</v>
      </c>
      <c r="D136" s="1" t="s">
        <v>147</v>
      </c>
      <c r="E136" s="1" t="s">
        <v>356</v>
      </c>
      <c r="F136" s="1" t="s">
        <v>13</v>
      </c>
      <c r="G136" s="1">
        <v>3.5</v>
      </c>
      <c r="H136" s="1" t="s">
        <v>357</v>
      </c>
      <c r="J136" s="1">
        <v>30</v>
      </c>
      <c r="K136" s="1">
        <v>76</v>
      </c>
      <c r="L136" s="9">
        <f t="shared" si="4"/>
        <v>0.76</v>
      </c>
      <c r="M136" s="8">
        <f t="shared" si="5"/>
        <v>6.1978875828839399</v>
      </c>
      <c r="N136" s="8"/>
      <c r="O136" s="1" t="s">
        <v>358</v>
      </c>
    </row>
    <row r="137" spans="1:15" x14ac:dyDescent="0.3">
      <c r="A137" s="1" t="s">
        <v>1</v>
      </c>
      <c r="B137" s="1" t="s">
        <v>359</v>
      </c>
      <c r="C137" s="1" t="s">
        <v>153</v>
      </c>
      <c r="D137" s="1" t="s">
        <v>147</v>
      </c>
      <c r="E137" s="1" t="s">
        <v>31</v>
      </c>
      <c r="F137" s="1" t="s">
        <v>182</v>
      </c>
      <c r="J137" s="1">
        <v>20</v>
      </c>
      <c r="K137" s="1">
        <v>98.6</v>
      </c>
      <c r="L137" s="9">
        <f t="shared" si="4"/>
        <v>0.98599999999999999</v>
      </c>
      <c r="M137" s="8">
        <f t="shared" si="5"/>
        <v>18.538719643217615</v>
      </c>
      <c r="N137" s="8"/>
      <c r="O137" s="1" t="s">
        <v>360</v>
      </c>
    </row>
    <row r="138" spans="1:15" x14ac:dyDescent="0.3">
      <c r="A138" s="1" t="s">
        <v>1</v>
      </c>
      <c r="B138" s="1" t="s">
        <v>364</v>
      </c>
      <c r="C138" s="1" t="s">
        <v>363</v>
      </c>
      <c r="D138" s="1" t="s">
        <v>361</v>
      </c>
      <c r="E138" s="1" t="s">
        <v>31</v>
      </c>
      <c r="F138" s="1" t="s">
        <v>13</v>
      </c>
      <c r="G138" s="1" t="s">
        <v>249</v>
      </c>
      <c r="H138" s="1">
        <v>1</v>
      </c>
      <c r="J138" s="1">
        <v>20</v>
      </c>
      <c r="K138" s="1">
        <v>99.9</v>
      </c>
      <c r="L138" s="9">
        <f t="shared" si="4"/>
        <v>0.99900000000000011</v>
      </c>
      <c r="M138" s="8">
        <f t="shared" si="5"/>
        <v>30.00000000000048</v>
      </c>
      <c r="N138" s="8"/>
      <c r="O138" s="1" t="s">
        <v>362</v>
      </c>
    </row>
    <row r="139" spans="1:15" x14ac:dyDescent="0.3">
      <c r="A139" s="1" t="s">
        <v>335</v>
      </c>
      <c r="B139" s="1" t="s">
        <v>366</v>
      </c>
      <c r="C139" s="1" t="s">
        <v>337</v>
      </c>
      <c r="D139" s="1" t="s">
        <v>365</v>
      </c>
      <c r="E139" s="1" t="s">
        <v>31</v>
      </c>
      <c r="F139" s="1" t="s">
        <v>13</v>
      </c>
      <c r="G139" s="1">
        <v>3</v>
      </c>
      <c r="J139" s="1">
        <v>25</v>
      </c>
      <c r="K139" s="1">
        <v>86</v>
      </c>
      <c r="L139" s="9">
        <f t="shared" si="4"/>
        <v>0.86</v>
      </c>
      <c r="M139" s="8">
        <f t="shared" si="5"/>
        <v>8.53871964321762</v>
      </c>
      <c r="N139" s="8"/>
      <c r="O139" s="1" t="s">
        <v>367</v>
      </c>
    </row>
    <row r="140" spans="1:15" x14ac:dyDescent="0.3">
      <c r="A140" s="1" t="s">
        <v>335</v>
      </c>
      <c r="B140" s="1" t="s">
        <v>369</v>
      </c>
      <c r="C140" s="1" t="s">
        <v>370</v>
      </c>
      <c r="D140" s="1" t="s">
        <v>22</v>
      </c>
      <c r="E140" s="1" t="s">
        <v>31</v>
      </c>
      <c r="F140" s="1" t="s">
        <v>13</v>
      </c>
      <c r="G140" s="1">
        <v>3</v>
      </c>
      <c r="J140" s="1">
        <v>25</v>
      </c>
      <c r="K140" s="1">
        <v>97</v>
      </c>
      <c r="L140" s="9">
        <f t="shared" si="4"/>
        <v>0.97</v>
      </c>
      <c r="M140" s="8">
        <f t="shared" si="5"/>
        <v>15.228787452803372</v>
      </c>
      <c r="N140" s="8"/>
      <c r="O140" s="1" t="s">
        <v>368</v>
      </c>
    </row>
    <row r="141" spans="1:15" x14ac:dyDescent="0.3">
      <c r="A141" s="1" t="s">
        <v>494</v>
      </c>
      <c r="B141" s="1" t="s">
        <v>495</v>
      </c>
      <c r="C141" s="1" t="s">
        <v>496</v>
      </c>
      <c r="D141" s="1" t="s">
        <v>22</v>
      </c>
      <c r="E141" s="1" t="s">
        <v>31</v>
      </c>
      <c r="F141" s="1" t="s">
        <v>13</v>
      </c>
      <c r="G141" s="1">
        <v>3</v>
      </c>
      <c r="H141" s="1">
        <v>1</v>
      </c>
      <c r="J141" s="1">
        <v>20</v>
      </c>
      <c r="K141" s="1">
        <v>95.27</v>
      </c>
      <c r="L141" s="9">
        <f t="shared" si="4"/>
        <v>0.95269999999999999</v>
      </c>
      <c r="M141" s="8">
        <f t="shared" si="5"/>
        <v>13.251388592621884</v>
      </c>
      <c r="N141" s="8"/>
      <c r="O141" s="1" t="s">
        <v>497</v>
      </c>
    </row>
    <row r="142" spans="1:15" x14ac:dyDescent="0.3">
      <c r="A142" s="1" t="s">
        <v>335</v>
      </c>
      <c r="B142" s="1" t="s">
        <v>371</v>
      </c>
      <c r="C142" s="1" t="s">
        <v>372</v>
      </c>
      <c r="D142" s="1" t="s">
        <v>311</v>
      </c>
      <c r="E142" s="1" t="s">
        <v>23</v>
      </c>
      <c r="F142" s="1" t="s">
        <v>13</v>
      </c>
      <c r="G142" s="1">
        <v>3</v>
      </c>
      <c r="J142" s="1">
        <v>25</v>
      </c>
      <c r="K142" s="1">
        <v>94</v>
      </c>
      <c r="L142" s="9">
        <f t="shared" si="4"/>
        <v>0.94</v>
      </c>
      <c r="M142" s="8">
        <f t="shared" si="5"/>
        <v>12.21848749616356</v>
      </c>
      <c r="N142" s="8"/>
      <c r="O142" s="1" t="s">
        <v>379</v>
      </c>
    </row>
    <row r="143" spans="1:15" x14ac:dyDescent="0.3">
      <c r="A143" s="1" t="s">
        <v>335</v>
      </c>
      <c r="B143" s="1" t="s">
        <v>373</v>
      </c>
      <c r="C143" s="1" t="s">
        <v>374</v>
      </c>
      <c r="D143" s="1" t="s">
        <v>311</v>
      </c>
      <c r="E143" s="1" t="s">
        <v>23</v>
      </c>
      <c r="F143" s="1" t="s">
        <v>13</v>
      </c>
      <c r="G143" s="1">
        <v>3</v>
      </c>
      <c r="J143" s="1">
        <v>25</v>
      </c>
      <c r="K143" s="1">
        <v>88</v>
      </c>
      <c r="L143" s="9">
        <f t="shared" si="4"/>
        <v>0.88</v>
      </c>
      <c r="M143" s="8">
        <f t="shared" si="5"/>
        <v>9.2081875395237525</v>
      </c>
      <c r="N143" s="8"/>
      <c r="O143" s="1" t="s">
        <v>379</v>
      </c>
    </row>
    <row r="144" spans="1:15" x14ac:dyDescent="0.3">
      <c r="A144" s="1" t="s">
        <v>335</v>
      </c>
      <c r="B144" s="1" t="s">
        <v>376</v>
      </c>
      <c r="C144" s="1" t="s">
        <v>375</v>
      </c>
      <c r="D144" s="1" t="s">
        <v>311</v>
      </c>
      <c r="E144" s="1" t="s">
        <v>23</v>
      </c>
      <c r="F144" s="1" t="s">
        <v>13</v>
      </c>
      <c r="G144" s="1">
        <v>3</v>
      </c>
      <c r="J144" s="1">
        <v>25</v>
      </c>
      <c r="K144" s="1">
        <v>97</v>
      </c>
      <c r="L144" s="9">
        <f t="shared" si="4"/>
        <v>0.97</v>
      </c>
      <c r="M144" s="8">
        <f t="shared" si="5"/>
        <v>15.228787452803372</v>
      </c>
      <c r="N144" s="8"/>
      <c r="O144" s="1" t="s">
        <v>379</v>
      </c>
    </row>
    <row r="145" spans="1:15" x14ac:dyDescent="0.3">
      <c r="A145" s="1" t="s">
        <v>335</v>
      </c>
      <c r="B145" s="1" t="s">
        <v>378</v>
      </c>
      <c r="C145" s="1" t="s">
        <v>377</v>
      </c>
      <c r="D145" s="1" t="s">
        <v>311</v>
      </c>
      <c r="E145" s="1" t="s">
        <v>23</v>
      </c>
      <c r="F145" s="1" t="s">
        <v>13</v>
      </c>
      <c r="G145" s="1">
        <v>3</v>
      </c>
      <c r="J145" s="1">
        <v>25</v>
      </c>
      <c r="K145" s="1">
        <v>88</v>
      </c>
      <c r="L145" s="9">
        <f t="shared" si="4"/>
        <v>0.88</v>
      </c>
      <c r="M145" s="8">
        <f t="shared" si="5"/>
        <v>9.2081875395237525</v>
      </c>
      <c r="N145" s="8"/>
      <c r="O145" s="1" t="s">
        <v>379</v>
      </c>
    </row>
    <row r="146" spans="1:15" x14ac:dyDescent="0.3">
      <c r="A146" s="1" t="s">
        <v>335</v>
      </c>
      <c r="B146" s="1" t="s">
        <v>381</v>
      </c>
      <c r="C146" s="1" t="s">
        <v>382</v>
      </c>
      <c r="D146" s="1" t="s">
        <v>85</v>
      </c>
      <c r="E146" s="1" t="s">
        <v>31</v>
      </c>
      <c r="F146" s="1" t="s">
        <v>380</v>
      </c>
      <c r="J146" s="1">
        <v>25</v>
      </c>
      <c r="K146" s="1">
        <v>92.76</v>
      </c>
      <c r="L146" s="9">
        <f t="shared" si="4"/>
        <v>0.92760000000000009</v>
      </c>
      <c r="M146" s="8">
        <f t="shared" si="5"/>
        <v>11.402614338028537</v>
      </c>
      <c r="N146" s="8"/>
      <c r="O146" s="1" t="s">
        <v>385</v>
      </c>
    </row>
    <row r="147" spans="1:15" x14ac:dyDescent="0.3">
      <c r="A147" s="1" t="s">
        <v>1</v>
      </c>
      <c r="B147" s="1" t="s">
        <v>383</v>
      </c>
      <c r="C147" s="1" t="s">
        <v>384</v>
      </c>
      <c r="D147" s="1" t="s">
        <v>209</v>
      </c>
      <c r="E147" s="1" t="s">
        <v>31</v>
      </c>
      <c r="F147" s="1" t="s">
        <v>13</v>
      </c>
      <c r="G147" s="1" t="s">
        <v>386</v>
      </c>
      <c r="H147" s="1">
        <v>0.3</v>
      </c>
      <c r="J147" s="1" t="s">
        <v>30</v>
      </c>
      <c r="K147" s="1">
        <v>3</v>
      </c>
      <c r="L147" s="9">
        <f t="shared" si="4"/>
        <v>0.03</v>
      </c>
      <c r="M147" s="8">
        <f t="shared" si="5"/>
        <v>0.13228265733755196</v>
      </c>
      <c r="N147" s="8"/>
      <c r="O147" s="1" t="s">
        <v>387</v>
      </c>
    </row>
    <row r="148" spans="1:15" x14ac:dyDescent="0.3">
      <c r="A148" s="1" t="s">
        <v>1</v>
      </c>
      <c r="B148" s="1" t="s">
        <v>388</v>
      </c>
      <c r="C148" s="1" t="s">
        <v>389</v>
      </c>
      <c r="D148" s="1" t="s">
        <v>22</v>
      </c>
      <c r="E148" s="1" t="s">
        <v>150</v>
      </c>
      <c r="F148" s="1" t="s">
        <v>13</v>
      </c>
      <c r="G148" s="1">
        <v>3.5</v>
      </c>
      <c r="K148" s="1">
        <v>39.799999999999997</v>
      </c>
      <c r="L148" s="9">
        <f t="shared" si="4"/>
        <v>0.39799999999999996</v>
      </c>
      <c r="M148" s="8">
        <f t="shared" si="5"/>
        <v>2.204035087421754</v>
      </c>
      <c r="N148" s="8"/>
      <c r="O148" s="1" t="s">
        <v>392</v>
      </c>
    </row>
    <row r="149" spans="1:15" x14ac:dyDescent="0.3">
      <c r="A149" s="1" t="s">
        <v>1</v>
      </c>
      <c r="B149" s="1" t="s">
        <v>390</v>
      </c>
      <c r="C149" s="1" t="s">
        <v>391</v>
      </c>
      <c r="E149" s="1" t="s">
        <v>31</v>
      </c>
      <c r="F149" s="1" t="s">
        <v>13</v>
      </c>
      <c r="G149" s="1">
        <v>1.5</v>
      </c>
      <c r="J149" s="1">
        <v>25</v>
      </c>
      <c r="K149" s="1">
        <v>69</v>
      </c>
      <c r="L149" s="9">
        <f t="shared" si="4"/>
        <v>0.69</v>
      </c>
      <c r="M149" s="8">
        <f t="shared" si="5"/>
        <v>5.0863830616572727</v>
      </c>
      <c r="N149" s="8"/>
      <c r="O149" s="1" t="s">
        <v>392</v>
      </c>
    </row>
    <row r="150" spans="1:15" x14ac:dyDescent="0.3">
      <c r="A150" s="1" t="s">
        <v>1</v>
      </c>
      <c r="B150" s="1" t="s">
        <v>393</v>
      </c>
      <c r="C150" s="1" t="s">
        <v>394</v>
      </c>
      <c r="E150" s="1" t="s">
        <v>31</v>
      </c>
      <c r="F150" s="1" t="s">
        <v>13</v>
      </c>
      <c r="G150" s="1">
        <v>1.5</v>
      </c>
      <c r="J150" s="1">
        <v>25</v>
      </c>
      <c r="K150" s="1">
        <v>60</v>
      </c>
      <c r="L150" s="9">
        <f t="shared" si="4"/>
        <v>0.6</v>
      </c>
      <c r="M150" s="8">
        <f t="shared" si="5"/>
        <v>3.9794000867203758</v>
      </c>
      <c r="N150" s="8"/>
      <c r="O150" s="1" t="s">
        <v>392</v>
      </c>
    </row>
    <row r="151" spans="1:15" x14ac:dyDescent="0.3">
      <c r="A151" s="1" t="s">
        <v>1</v>
      </c>
      <c r="B151" s="1" t="s">
        <v>398</v>
      </c>
      <c r="C151" s="1" t="s">
        <v>397</v>
      </c>
      <c r="E151" s="1" t="s">
        <v>31</v>
      </c>
      <c r="F151" s="1" t="s">
        <v>13</v>
      </c>
      <c r="G151" s="1">
        <v>1.5</v>
      </c>
      <c r="J151" s="1">
        <v>25</v>
      </c>
      <c r="K151" s="1">
        <v>80</v>
      </c>
      <c r="L151" s="9">
        <f t="shared" si="4"/>
        <v>0.8</v>
      </c>
      <c r="M151" s="8">
        <f t="shared" si="5"/>
        <v>6.9897000433601884</v>
      </c>
      <c r="N151" s="8"/>
      <c r="O151" s="1" t="s">
        <v>400</v>
      </c>
    </row>
    <row r="152" spans="1:15" x14ac:dyDescent="0.3">
      <c r="A152" s="1" t="s">
        <v>1</v>
      </c>
      <c r="B152" s="1" t="s">
        <v>395</v>
      </c>
      <c r="C152" s="1" t="s">
        <v>396</v>
      </c>
      <c r="D152" s="1" t="s">
        <v>361</v>
      </c>
      <c r="E152" s="1" t="s">
        <v>31</v>
      </c>
      <c r="F152" s="1" t="s">
        <v>182</v>
      </c>
      <c r="H152" s="1" t="s">
        <v>399</v>
      </c>
      <c r="K152" s="1">
        <v>68.680000000000007</v>
      </c>
      <c r="L152" s="9">
        <f t="shared" si="4"/>
        <v>0.68680000000000008</v>
      </c>
      <c r="M152" s="8">
        <f t="shared" si="5"/>
        <v>5.0417824661409441</v>
      </c>
      <c r="N152" s="8"/>
      <c r="O152" s="1" t="s">
        <v>401</v>
      </c>
    </row>
    <row r="153" spans="1:15" x14ac:dyDescent="0.3">
      <c r="A153" s="1" t="s">
        <v>1</v>
      </c>
      <c r="B153" s="1" t="s">
        <v>266</v>
      </c>
      <c r="C153" s="1" t="s">
        <v>267</v>
      </c>
      <c r="D153" s="1" t="s">
        <v>63</v>
      </c>
      <c r="E153" s="1" t="s">
        <v>31</v>
      </c>
      <c r="F153" s="1" t="s">
        <v>13</v>
      </c>
      <c r="G153" s="1">
        <v>3</v>
      </c>
      <c r="H153" s="1">
        <v>3</v>
      </c>
      <c r="J153" s="1">
        <v>25</v>
      </c>
      <c r="K153" s="1">
        <v>76</v>
      </c>
      <c r="L153" s="9">
        <f t="shared" si="4"/>
        <v>0.76</v>
      </c>
      <c r="M153" s="8">
        <f t="shared" si="5"/>
        <v>6.1978875828839399</v>
      </c>
      <c r="N153" s="8"/>
      <c r="O153" s="1" t="s">
        <v>405</v>
      </c>
    </row>
    <row r="154" spans="1:15" x14ac:dyDescent="0.3">
      <c r="A154" s="1" t="s">
        <v>1</v>
      </c>
      <c r="B154" s="1" t="s">
        <v>402</v>
      </c>
      <c r="C154" s="1" t="s">
        <v>408</v>
      </c>
      <c r="D154" s="1" t="s">
        <v>431</v>
      </c>
      <c r="E154" s="1" t="s">
        <v>406</v>
      </c>
      <c r="F154" s="1" t="s">
        <v>403</v>
      </c>
      <c r="H154" s="1">
        <v>1</v>
      </c>
      <c r="J154" s="1" t="s">
        <v>328</v>
      </c>
      <c r="K154" s="1">
        <v>45.3</v>
      </c>
      <c r="L154" s="9">
        <f t="shared" si="4"/>
        <v>0.45299999999999996</v>
      </c>
      <c r="M154" s="8">
        <f t="shared" si="5"/>
        <v>2.6201267366656915</v>
      </c>
      <c r="N154" s="8"/>
      <c r="O154" s="1" t="s">
        <v>405</v>
      </c>
    </row>
    <row r="155" spans="1:15" x14ac:dyDescent="0.3">
      <c r="A155" s="1" t="s">
        <v>1</v>
      </c>
      <c r="B155" s="1" t="s">
        <v>404</v>
      </c>
      <c r="C155" s="1" t="s">
        <v>407</v>
      </c>
      <c r="D155" s="1" t="s">
        <v>431</v>
      </c>
      <c r="E155" s="1" t="s">
        <v>406</v>
      </c>
      <c r="F155" s="1" t="s">
        <v>403</v>
      </c>
      <c r="H155" s="1">
        <v>1</v>
      </c>
      <c r="J155" s="1" t="s">
        <v>328</v>
      </c>
      <c r="K155" s="1">
        <v>56.7</v>
      </c>
      <c r="L155" s="9">
        <f t="shared" si="4"/>
        <v>0.56700000000000006</v>
      </c>
      <c r="M155" s="8">
        <f t="shared" si="5"/>
        <v>3.6351210364663462</v>
      </c>
      <c r="N155" s="8"/>
      <c r="O155" s="1" t="s">
        <v>415</v>
      </c>
    </row>
    <row r="156" spans="1:15" x14ac:dyDescent="0.3">
      <c r="A156" s="1" t="s">
        <v>1</v>
      </c>
      <c r="B156" s="1" t="s">
        <v>409</v>
      </c>
      <c r="C156" s="1" t="s">
        <v>410</v>
      </c>
      <c r="E156" s="1" t="s">
        <v>411</v>
      </c>
      <c r="F156" s="1" t="s">
        <v>13</v>
      </c>
      <c r="G156" s="1">
        <v>3.5</v>
      </c>
      <c r="H156" s="1">
        <v>120</v>
      </c>
      <c r="J156" s="1">
        <v>25</v>
      </c>
      <c r="K156" s="1">
        <v>86.52</v>
      </c>
      <c r="L156" s="9">
        <f t="shared" si="4"/>
        <v>0.86519999999999997</v>
      </c>
      <c r="M156" s="8">
        <f t="shared" si="5"/>
        <v>8.7031010780069877</v>
      </c>
      <c r="N156" s="8"/>
      <c r="O156" s="1" t="s">
        <v>415</v>
      </c>
    </row>
    <row r="157" spans="1:15" x14ac:dyDescent="0.3">
      <c r="A157" s="1" t="s">
        <v>1</v>
      </c>
      <c r="B157" s="1" t="s">
        <v>412</v>
      </c>
      <c r="C157" s="1" t="s">
        <v>413</v>
      </c>
      <c r="E157" s="1" t="s">
        <v>414</v>
      </c>
      <c r="F157" s="1" t="s">
        <v>13</v>
      </c>
      <c r="G157" s="1">
        <v>3.5</v>
      </c>
      <c r="H157" s="1">
        <v>120</v>
      </c>
      <c r="J157" s="1">
        <v>25</v>
      </c>
      <c r="K157" s="1">
        <v>92.18</v>
      </c>
      <c r="L157" s="9">
        <f t="shared" si="4"/>
        <v>0.92180000000000006</v>
      </c>
      <c r="M157" s="8">
        <f t="shared" si="5"/>
        <v>11.067932469401523</v>
      </c>
      <c r="N157" s="8"/>
      <c r="O157" s="1" t="s">
        <v>417</v>
      </c>
    </row>
    <row r="158" spans="1:15" x14ac:dyDescent="0.3">
      <c r="A158" s="1" t="s">
        <v>1</v>
      </c>
      <c r="B158" s="1" t="s">
        <v>416</v>
      </c>
      <c r="C158" s="1" t="s">
        <v>40</v>
      </c>
      <c r="E158" s="1" t="s">
        <v>418</v>
      </c>
      <c r="F158" s="1" t="s">
        <v>13</v>
      </c>
      <c r="G158" s="1">
        <v>3.5</v>
      </c>
      <c r="H158" s="1" t="s">
        <v>419</v>
      </c>
      <c r="I158" s="1">
        <v>4</v>
      </c>
      <c r="K158" s="1">
        <v>68</v>
      </c>
      <c r="L158" s="9">
        <f t="shared" si="4"/>
        <v>0.68</v>
      </c>
      <c r="M158" s="8">
        <f t="shared" si="5"/>
        <v>4.9485002168009409</v>
      </c>
      <c r="N158" s="8"/>
      <c r="O158" s="1" t="s">
        <v>417</v>
      </c>
    </row>
    <row r="159" spans="1:15" x14ac:dyDescent="0.3">
      <c r="A159" s="1" t="s">
        <v>1</v>
      </c>
      <c r="B159" s="1" t="s">
        <v>420</v>
      </c>
      <c r="C159" s="1" t="s">
        <v>239</v>
      </c>
      <c r="E159" s="1" t="s">
        <v>31</v>
      </c>
      <c r="F159" s="1" t="s">
        <v>13</v>
      </c>
      <c r="G159" s="1">
        <v>3</v>
      </c>
      <c r="H159" s="1">
        <v>1</v>
      </c>
      <c r="K159" s="1">
        <v>74</v>
      </c>
      <c r="L159" s="9">
        <f t="shared" si="4"/>
        <v>0.74</v>
      </c>
      <c r="M159" s="8">
        <f t="shared" si="5"/>
        <v>5.8502665202918198</v>
      </c>
      <c r="N159" s="8"/>
      <c r="O159" s="1" t="s">
        <v>421</v>
      </c>
    </row>
    <row r="160" spans="1:15" x14ac:dyDescent="0.3">
      <c r="A160" s="1" t="s">
        <v>1</v>
      </c>
      <c r="B160" s="1" t="s">
        <v>424</v>
      </c>
      <c r="C160" s="1" t="s">
        <v>422</v>
      </c>
      <c r="D160" s="1" t="s">
        <v>423</v>
      </c>
      <c r="E160" s="1" t="s">
        <v>31</v>
      </c>
      <c r="F160" s="1" t="s">
        <v>13</v>
      </c>
      <c r="G160" s="1" t="s">
        <v>235</v>
      </c>
      <c r="I160" s="1">
        <v>7.4</v>
      </c>
      <c r="J160" s="1">
        <v>25</v>
      </c>
      <c r="K160" s="1">
        <v>64.2</v>
      </c>
      <c r="L160" s="9">
        <f t="shared" si="4"/>
        <v>0.64200000000000002</v>
      </c>
      <c r="M160" s="8">
        <f t="shared" si="5"/>
        <v>4.4611697335612561</v>
      </c>
      <c r="N160" s="8"/>
      <c r="O160" s="1" t="s">
        <v>436</v>
      </c>
    </row>
    <row r="161" spans="1:15" x14ac:dyDescent="0.3">
      <c r="A161" s="1" t="s">
        <v>1</v>
      </c>
      <c r="B161" s="1" t="s">
        <v>426</v>
      </c>
      <c r="C161" s="1" t="s">
        <v>425</v>
      </c>
      <c r="D161" s="1" t="s">
        <v>423</v>
      </c>
      <c r="E161" s="1" t="s">
        <v>150</v>
      </c>
      <c r="F161" s="1" t="s">
        <v>13</v>
      </c>
      <c r="G161" s="1" t="s">
        <v>235</v>
      </c>
      <c r="I161" s="1">
        <v>7.4</v>
      </c>
      <c r="J161" s="1">
        <v>25</v>
      </c>
      <c r="K161" s="1">
        <v>91.7</v>
      </c>
      <c r="L161" s="9">
        <f t="shared" si="4"/>
        <v>0.91700000000000004</v>
      </c>
      <c r="M161" s="8">
        <f t="shared" si="5"/>
        <v>10.809219076239263</v>
      </c>
      <c r="N161" s="8"/>
      <c r="O161" s="1" t="s">
        <v>436</v>
      </c>
    </row>
    <row r="162" spans="1:15" x14ac:dyDescent="0.3">
      <c r="A162" s="1" t="s">
        <v>1</v>
      </c>
      <c r="B162" s="1" t="s">
        <v>428</v>
      </c>
      <c r="C162" s="1" t="s">
        <v>427</v>
      </c>
      <c r="D162" s="1" t="s">
        <v>423</v>
      </c>
      <c r="E162" s="1" t="s">
        <v>150</v>
      </c>
      <c r="F162" s="1" t="s">
        <v>13</v>
      </c>
      <c r="G162" s="1" t="s">
        <v>235</v>
      </c>
      <c r="I162" s="1">
        <v>7.4</v>
      </c>
      <c r="J162" s="1">
        <v>25</v>
      </c>
      <c r="K162" s="1">
        <v>24.2</v>
      </c>
      <c r="L162" s="9">
        <f t="shared" si="4"/>
        <v>0.24199999999999999</v>
      </c>
      <c r="M162" s="8">
        <f t="shared" si="5"/>
        <v>1.2033079436794645</v>
      </c>
      <c r="N162" s="8"/>
      <c r="O162" s="1" t="s">
        <v>436</v>
      </c>
    </row>
    <row r="163" spans="1:15" x14ac:dyDescent="0.3">
      <c r="A163" s="1" t="s">
        <v>1</v>
      </c>
      <c r="B163" s="1" t="s">
        <v>430</v>
      </c>
      <c r="C163" s="1" t="s">
        <v>429</v>
      </c>
      <c r="D163" s="1" t="s">
        <v>423</v>
      </c>
      <c r="E163" s="1" t="s">
        <v>31</v>
      </c>
      <c r="F163" s="1" t="s">
        <v>13</v>
      </c>
      <c r="G163" s="1" t="s">
        <v>235</v>
      </c>
      <c r="I163" s="1">
        <v>7.4</v>
      </c>
      <c r="J163" s="1">
        <v>25</v>
      </c>
      <c r="K163" s="1">
        <v>76.7</v>
      </c>
      <c r="L163" s="9">
        <f t="shared" si="4"/>
        <v>0.76700000000000002</v>
      </c>
      <c r="M163" s="8">
        <f t="shared" si="5"/>
        <v>6.3264407897398112</v>
      </c>
      <c r="N163" s="8"/>
      <c r="O163" s="1" t="s">
        <v>436</v>
      </c>
    </row>
    <row r="164" spans="1:15" x14ac:dyDescent="0.3">
      <c r="A164" s="1" t="s">
        <v>1</v>
      </c>
      <c r="B164" s="1" t="s">
        <v>433</v>
      </c>
      <c r="C164" s="1" t="s">
        <v>432</v>
      </c>
      <c r="D164" s="1" t="s">
        <v>423</v>
      </c>
      <c r="E164" s="1" t="s">
        <v>31</v>
      </c>
      <c r="F164" s="1" t="s">
        <v>13</v>
      </c>
      <c r="G164" s="1" t="s">
        <v>235</v>
      </c>
      <c r="I164" s="1">
        <v>7.4</v>
      </c>
      <c r="J164" s="1">
        <v>25</v>
      </c>
      <c r="K164" s="1">
        <v>86.7</v>
      </c>
      <c r="L164" s="9">
        <f t="shared" si="4"/>
        <v>0.86699999999999999</v>
      </c>
      <c r="M164" s="8">
        <f t="shared" si="5"/>
        <v>8.7614835903291421</v>
      </c>
      <c r="N164" s="8"/>
      <c r="O164" s="1" t="s">
        <v>436</v>
      </c>
    </row>
    <row r="165" spans="1:15" x14ac:dyDescent="0.3">
      <c r="A165" s="1" t="s">
        <v>1</v>
      </c>
      <c r="B165" s="1" t="s">
        <v>434</v>
      </c>
      <c r="C165" s="1" t="s">
        <v>435</v>
      </c>
      <c r="D165" s="1" t="s">
        <v>22</v>
      </c>
      <c r="E165" s="1" t="s">
        <v>31</v>
      </c>
      <c r="F165" s="1" t="s">
        <v>13</v>
      </c>
      <c r="G165" s="1" t="s">
        <v>235</v>
      </c>
      <c r="H165" s="1">
        <v>0.5</v>
      </c>
      <c r="I165" s="1">
        <v>7.4</v>
      </c>
      <c r="J165" s="1">
        <v>25</v>
      </c>
      <c r="K165" s="1">
        <v>75</v>
      </c>
      <c r="L165" s="9">
        <f t="shared" si="4"/>
        <v>0.75</v>
      </c>
      <c r="M165" s="8">
        <f t="shared" si="5"/>
        <v>6.0205999132796242</v>
      </c>
      <c r="N165" s="8"/>
      <c r="O165" s="1" t="s">
        <v>437</v>
      </c>
    </row>
    <row r="166" spans="1:15" x14ac:dyDescent="0.3">
      <c r="A166" s="1" t="s">
        <v>1</v>
      </c>
      <c r="B166" s="1" t="s">
        <v>438</v>
      </c>
      <c r="C166" s="1" t="s">
        <v>439</v>
      </c>
      <c r="D166" s="1" t="s">
        <v>22</v>
      </c>
      <c r="E166" s="1" t="s">
        <v>31</v>
      </c>
      <c r="F166" s="1" t="s">
        <v>13</v>
      </c>
      <c r="G166" s="1" t="s">
        <v>235</v>
      </c>
      <c r="H166" s="1">
        <v>0.5</v>
      </c>
      <c r="I166" s="1">
        <v>7.4</v>
      </c>
      <c r="J166" s="1">
        <v>25</v>
      </c>
      <c r="K166" s="1">
        <v>83.3</v>
      </c>
      <c r="L166" s="9">
        <f t="shared" si="4"/>
        <v>0.83299999999999996</v>
      </c>
      <c r="M166" s="8">
        <f t="shared" si="5"/>
        <v>7.7728352885241661</v>
      </c>
      <c r="N166" s="8"/>
      <c r="O166" s="1" t="s">
        <v>437</v>
      </c>
    </row>
    <row r="167" spans="1:15" x14ac:dyDescent="0.3">
      <c r="A167" s="1" t="s">
        <v>1</v>
      </c>
      <c r="B167" s="1" t="s">
        <v>440</v>
      </c>
      <c r="C167" s="1" t="s">
        <v>441</v>
      </c>
      <c r="D167" s="1" t="s">
        <v>22</v>
      </c>
      <c r="E167" s="1" t="s">
        <v>31</v>
      </c>
      <c r="F167" s="1" t="s">
        <v>13</v>
      </c>
      <c r="G167" s="1" t="s">
        <v>235</v>
      </c>
      <c r="H167" s="1">
        <v>0.5</v>
      </c>
      <c r="I167" s="1">
        <v>7.4</v>
      </c>
      <c r="J167" s="1">
        <v>25</v>
      </c>
      <c r="K167" s="1">
        <v>57.5</v>
      </c>
      <c r="L167" s="9">
        <f t="shared" si="4"/>
        <v>0.57499999999999996</v>
      </c>
      <c r="M167" s="8">
        <f t="shared" si="5"/>
        <v>3.716110699496884</v>
      </c>
      <c r="N167" s="8"/>
      <c r="O167" s="1" t="s">
        <v>437</v>
      </c>
    </row>
    <row r="168" spans="1:15" x14ac:dyDescent="0.3">
      <c r="A168" s="1" t="s">
        <v>1</v>
      </c>
      <c r="B168" s="1" t="s">
        <v>443</v>
      </c>
      <c r="C168" s="1" t="s">
        <v>442</v>
      </c>
      <c r="D168" s="1" t="s">
        <v>22</v>
      </c>
      <c r="E168" s="1" t="s">
        <v>31</v>
      </c>
      <c r="F168" s="1" t="s">
        <v>13</v>
      </c>
      <c r="G168" s="1" t="s">
        <v>235</v>
      </c>
      <c r="H168" s="1">
        <v>0.5</v>
      </c>
      <c r="I168" s="1">
        <v>7.4</v>
      </c>
      <c r="J168" s="1">
        <v>25</v>
      </c>
      <c r="K168" s="1">
        <v>88.3</v>
      </c>
      <c r="L168" s="9">
        <f t="shared" si="4"/>
        <v>0.88300000000000001</v>
      </c>
      <c r="M168" s="8">
        <f t="shared" si="5"/>
        <v>9.3181413825383821</v>
      </c>
      <c r="N168" s="8"/>
      <c r="O168" s="1" t="s">
        <v>437</v>
      </c>
    </row>
    <row r="169" spans="1:15" x14ac:dyDescent="0.3">
      <c r="A169" s="1" t="s">
        <v>264</v>
      </c>
      <c r="B169" s="1" t="s">
        <v>444</v>
      </c>
      <c r="C169" s="1" t="s">
        <v>445</v>
      </c>
      <c r="D169" s="1" t="s">
        <v>109</v>
      </c>
      <c r="E169" s="1" t="s">
        <v>31</v>
      </c>
      <c r="F169" s="1" t="s">
        <v>13</v>
      </c>
      <c r="G169" s="1">
        <v>3</v>
      </c>
      <c r="I169" s="1">
        <v>6.5</v>
      </c>
      <c r="K169" s="1">
        <v>71</v>
      </c>
      <c r="L169" s="9">
        <f t="shared" si="4"/>
        <v>0.71</v>
      </c>
      <c r="M169" s="8">
        <f t="shared" si="5"/>
        <v>5.3760200210104392</v>
      </c>
      <c r="N169" s="8"/>
      <c r="O169" s="1" t="s">
        <v>446</v>
      </c>
    </row>
    <row r="170" spans="1:15" x14ac:dyDescent="0.3">
      <c r="A170" s="1" t="s">
        <v>1</v>
      </c>
      <c r="B170" s="1" t="s">
        <v>447</v>
      </c>
      <c r="C170" s="1" t="s">
        <v>449</v>
      </c>
      <c r="D170" s="1" t="s">
        <v>85</v>
      </c>
      <c r="E170" s="1" t="s">
        <v>31</v>
      </c>
      <c r="F170" s="1" t="s">
        <v>13</v>
      </c>
      <c r="G170" s="1" t="s">
        <v>249</v>
      </c>
      <c r="H170" s="1">
        <v>1</v>
      </c>
      <c r="K170" s="1">
        <v>60</v>
      </c>
      <c r="L170" s="9">
        <f t="shared" si="4"/>
        <v>0.6</v>
      </c>
      <c r="M170" s="8">
        <f t="shared" si="5"/>
        <v>3.9794000867203758</v>
      </c>
      <c r="N170" s="8"/>
      <c r="O170" s="1" t="s">
        <v>448</v>
      </c>
    </row>
    <row r="171" spans="1:15" x14ac:dyDescent="0.3">
      <c r="A171" s="1" t="s">
        <v>1</v>
      </c>
      <c r="B171" s="1" t="s">
        <v>148</v>
      </c>
      <c r="C171" s="1" t="s">
        <v>149</v>
      </c>
      <c r="D171" s="1" t="s">
        <v>147</v>
      </c>
      <c r="E171" s="1" t="s">
        <v>31</v>
      </c>
      <c r="F171" s="1" t="s">
        <v>13</v>
      </c>
      <c r="G171" s="1" t="s">
        <v>235</v>
      </c>
      <c r="H171" s="1">
        <v>1</v>
      </c>
      <c r="I171" s="1">
        <v>8</v>
      </c>
      <c r="J171" s="1">
        <v>40</v>
      </c>
      <c r="K171" s="1">
        <v>98.6</v>
      </c>
      <c r="L171" s="9">
        <f t="shared" si="4"/>
        <v>0.98599999999999999</v>
      </c>
      <c r="M171" s="8">
        <f t="shared" si="5"/>
        <v>18.538719643217615</v>
      </c>
      <c r="N171" s="8"/>
      <c r="O171" s="1" t="s">
        <v>450</v>
      </c>
    </row>
    <row r="172" spans="1:15" x14ac:dyDescent="0.3">
      <c r="A172" s="1" t="s">
        <v>1</v>
      </c>
      <c r="B172" s="1" t="s">
        <v>451</v>
      </c>
      <c r="C172" s="1" t="s">
        <v>155</v>
      </c>
      <c r="D172" s="1" t="s">
        <v>147</v>
      </c>
      <c r="E172" s="1" t="s">
        <v>31</v>
      </c>
      <c r="F172" s="1" t="s">
        <v>13</v>
      </c>
      <c r="G172" s="1" t="s">
        <v>235</v>
      </c>
      <c r="H172" s="1">
        <v>1</v>
      </c>
      <c r="I172" s="1">
        <v>8</v>
      </c>
      <c r="J172" s="1">
        <v>40</v>
      </c>
      <c r="K172" s="1">
        <v>89.4</v>
      </c>
      <c r="L172" s="9">
        <f t="shared" si="4"/>
        <v>0.89400000000000002</v>
      </c>
      <c r="M172" s="8">
        <f t="shared" si="5"/>
        <v>9.7469413473522994</v>
      </c>
      <c r="N172" s="8"/>
      <c r="O172" s="1" t="s">
        <v>450</v>
      </c>
    </row>
    <row r="173" spans="1:15" x14ac:dyDescent="0.3">
      <c r="A173" s="1" t="s">
        <v>1</v>
      </c>
      <c r="B173" s="1" t="s">
        <v>452</v>
      </c>
      <c r="C173" s="1" t="s">
        <v>189</v>
      </c>
      <c r="D173" s="1" t="s">
        <v>147</v>
      </c>
      <c r="E173" s="1" t="s">
        <v>31</v>
      </c>
      <c r="F173" s="1" t="s">
        <v>13</v>
      </c>
      <c r="G173" s="1" t="s">
        <v>235</v>
      </c>
      <c r="H173" s="1">
        <v>1</v>
      </c>
      <c r="I173" s="1">
        <v>8</v>
      </c>
      <c r="J173" s="1">
        <v>40</v>
      </c>
      <c r="K173" s="1">
        <v>99.7</v>
      </c>
      <c r="L173" s="9">
        <f t="shared" si="4"/>
        <v>0.997</v>
      </c>
      <c r="M173" s="8">
        <f t="shared" si="5"/>
        <v>25.22878745280337</v>
      </c>
      <c r="N173" s="8"/>
      <c r="O173" s="1" t="s">
        <v>450</v>
      </c>
    </row>
    <row r="174" spans="1:15" x14ac:dyDescent="0.3">
      <c r="A174" s="1" t="s">
        <v>1</v>
      </c>
      <c r="B174" s="1" t="s">
        <v>154</v>
      </c>
      <c r="C174" s="1" t="s">
        <v>153</v>
      </c>
      <c r="D174" s="1" t="s">
        <v>147</v>
      </c>
      <c r="E174" s="1" t="s">
        <v>31</v>
      </c>
      <c r="F174" s="1" t="s">
        <v>13</v>
      </c>
      <c r="G174" s="1" t="s">
        <v>235</v>
      </c>
      <c r="H174" s="1">
        <v>1</v>
      </c>
      <c r="I174" s="1">
        <v>8</v>
      </c>
      <c r="J174" s="1">
        <v>40</v>
      </c>
      <c r="K174" s="1">
        <v>99.5</v>
      </c>
      <c r="L174" s="9">
        <f t="shared" si="4"/>
        <v>0.995</v>
      </c>
      <c r="M174" s="8">
        <f t="shared" si="5"/>
        <v>23.010299956639809</v>
      </c>
      <c r="N174" s="8"/>
      <c r="O174" s="1" t="s">
        <v>450</v>
      </c>
    </row>
    <row r="175" spans="1:15" x14ac:dyDescent="0.3">
      <c r="A175" s="1" t="s">
        <v>1</v>
      </c>
      <c r="B175" s="1" t="s">
        <v>453</v>
      </c>
      <c r="C175" s="1" t="s">
        <v>157</v>
      </c>
      <c r="D175" s="1" t="s">
        <v>147</v>
      </c>
      <c r="E175" s="1" t="s">
        <v>31</v>
      </c>
      <c r="F175" s="1" t="s">
        <v>13</v>
      </c>
      <c r="G175" s="1" t="s">
        <v>235</v>
      </c>
      <c r="H175" s="1">
        <v>1</v>
      </c>
      <c r="I175" s="1">
        <v>8</v>
      </c>
      <c r="J175" s="1">
        <v>40</v>
      </c>
      <c r="K175" s="1">
        <v>89.4</v>
      </c>
      <c r="L175" s="9">
        <f t="shared" si="4"/>
        <v>0.89400000000000002</v>
      </c>
      <c r="M175" s="8">
        <f t="shared" si="5"/>
        <v>9.7469413473522994</v>
      </c>
      <c r="N175" s="8"/>
      <c r="O175" s="1" t="s">
        <v>450</v>
      </c>
    </row>
    <row r="176" spans="1:15" x14ac:dyDescent="0.3">
      <c r="A176" s="1" t="s">
        <v>1</v>
      </c>
      <c r="B176" s="1" t="s">
        <v>454</v>
      </c>
      <c r="C176" s="1" t="s">
        <v>144</v>
      </c>
      <c r="D176" s="1" t="s">
        <v>141</v>
      </c>
      <c r="E176" s="1" t="s">
        <v>23</v>
      </c>
      <c r="F176" s="1" t="s">
        <v>13</v>
      </c>
      <c r="G176" s="1">
        <v>3</v>
      </c>
      <c r="K176" s="1">
        <v>89.3</v>
      </c>
      <c r="L176" s="9">
        <f t="shared" si="4"/>
        <v>0.89300000000000002</v>
      </c>
      <c r="M176" s="8">
        <f t="shared" si="5"/>
        <v>9.7061622231479046</v>
      </c>
      <c r="N176" s="8"/>
      <c r="O176" s="1" t="s">
        <v>455</v>
      </c>
    </row>
    <row r="177" spans="1:15" x14ac:dyDescent="0.3">
      <c r="A177" s="1" t="s">
        <v>1</v>
      </c>
      <c r="B177" s="1" t="s">
        <v>256</v>
      </c>
      <c r="C177" s="1" t="s">
        <v>255</v>
      </c>
      <c r="D177" s="1" t="s">
        <v>49</v>
      </c>
      <c r="E177" s="1" t="s">
        <v>23</v>
      </c>
      <c r="F177" s="1" t="s">
        <v>13</v>
      </c>
      <c r="G177" s="1" t="s">
        <v>235</v>
      </c>
      <c r="H177" s="1">
        <v>1</v>
      </c>
      <c r="J177" s="1" t="s">
        <v>30</v>
      </c>
      <c r="K177" s="1">
        <v>80.900000000000006</v>
      </c>
      <c r="L177" s="9">
        <f t="shared" si="4"/>
        <v>0.80900000000000005</v>
      </c>
      <c r="M177" s="8">
        <f t="shared" si="5"/>
        <v>7.1896663275227262</v>
      </c>
      <c r="N177" s="8"/>
      <c r="O177" s="1" t="s">
        <v>456</v>
      </c>
    </row>
    <row r="178" spans="1:15" x14ac:dyDescent="0.3">
      <c r="A178" s="1" t="s">
        <v>1</v>
      </c>
      <c r="B178" s="1" t="s">
        <v>457</v>
      </c>
      <c r="C178" s="1" t="s">
        <v>458</v>
      </c>
      <c r="D178" s="1" t="s">
        <v>461</v>
      </c>
      <c r="E178" s="1" t="s">
        <v>31</v>
      </c>
      <c r="F178" s="1" t="s">
        <v>13</v>
      </c>
      <c r="G178" s="1">
        <v>3.5</v>
      </c>
      <c r="H178" s="1">
        <v>1</v>
      </c>
      <c r="J178" s="1" t="s">
        <v>45</v>
      </c>
      <c r="K178" s="1">
        <v>88</v>
      </c>
      <c r="L178" s="9">
        <f t="shared" si="4"/>
        <v>0.88</v>
      </c>
      <c r="M178" s="8">
        <f t="shared" si="5"/>
        <v>9.2081875395237525</v>
      </c>
      <c r="N178" s="8"/>
      <c r="O178" s="1" t="s">
        <v>462</v>
      </c>
    </row>
    <row r="179" spans="1:15" x14ac:dyDescent="0.3">
      <c r="A179" s="1" t="s">
        <v>1</v>
      </c>
      <c r="B179" s="1" t="s">
        <v>459</v>
      </c>
      <c r="C179" s="1" t="s">
        <v>460</v>
      </c>
      <c r="D179" s="1" t="s">
        <v>461</v>
      </c>
      <c r="E179" s="1" t="s">
        <v>31</v>
      </c>
      <c r="F179" s="1" t="s">
        <v>13</v>
      </c>
      <c r="G179" s="1">
        <v>3.5</v>
      </c>
      <c r="H179" s="1">
        <v>1</v>
      </c>
      <c r="J179" s="1" t="s">
        <v>45</v>
      </c>
      <c r="K179" s="1">
        <v>89</v>
      </c>
      <c r="L179" s="9">
        <f t="shared" si="4"/>
        <v>0.89</v>
      </c>
      <c r="M179" s="8">
        <f>10*LOG10(1/(1-L179))</f>
        <v>9.5860731484177499</v>
      </c>
      <c r="N179" s="8"/>
      <c r="O179" s="1" t="s">
        <v>462</v>
      </c>
    </row>
    <row r="180" spans="1:15" x14ac:dyDescent="0.3">
      <c r="A180" s="1" t="s">
        <v>264</v>
      </c>
      <c r="B180" s="1" t="s">
        <v>463</v>
      </c>
      <c r="C180" s="1" t="s">
        <v>464</v>
      </c>
      <c r="D180" s="1" t="s">
        <v>22</v>
      </c>
      <c r="F180" s="1" t="s">
        <v>13</v>
      </c>
      <c r="G180" s="1">
        <v>3</v>
      </c>
      <c r="K180" s="1">
        <v>91.5</v>
      </c>
      <c r="L180" s="9">
        <f t="shared" si="4"/>
        <v>0.91500000000000004</v>
      </c>
      <c r="M180" s="8">
        <f t="shared" ref="M180:M243" si="6">10*LOG10(1/(1-L180))</f>
        <v>10.705810742857073</v>
      </c>
      <c r="N180" s="1" t="s">
        <v>466</v>
      </c>
      <c r="O180" s="1" t="s">
        <v>470</v>
      </c>
    </row>
    <row r="181" spans="1:15" x14ac:dyDescent="0.3">
      <c r="A181" s="1" t="s">
        <v>264</v>
      </c>
      <c r="B181" s="1" t="s">
        <v>465</v>
      </c>
      <c r="C181" s="1" t="s">
        <v>467</v>
      </c>
      <c r="D181" s="1" t="s">
        <v>22</v>
      </c>
      <c r="F181" s="1" t="s">
        <v>13</v>
      </c>
      <c r="G181" s="1">
        <v>3</v>
      </c>
      <c r="K181" s="1">
        <v>93.6</v>
      </c>
      <c r="L181" s="9">
        <f t="shared" si="4"/>
        <v>0.93599999999999994</v>
      </c>
      <c r="M181" s="8">
        <f t="shared" si="6"/>
        <v>11.938200260161125</v>
      </c>
      <c r="N181" s="1" t="s">
        <v>466</v>
      </c>
      <c r="O181" s="1" t="s">
        <v>470</v>
      </c>
    </row>
    <row r="182" spans="1:15" x14ac:dyDescent="0.3">
      <c r="A182" s="1" t="s">
        <v>264</v>
      </c>
      <c r="B182" s="1" t="s">
        <v>468</v>
      </c>
      <c r="C182" s="1" t="s">
        <v>469</v>
      </c>
      <c r="D182" s="1" t="s">
        <v>22</v>
      </c>
      <c r="F182" s="1" t="s">
        <v>13</v>
      </c>
      <c r="G182" s="1">
        <v>3</v>
      </c>
      <c r="K182" s="1">
        <v>94.5</v>
      </c>
      <c r="L182" s="9">
        <f t="shared" si="4"/>
        <v>0.94499999999999995</v>
      </c>
      <c r="M182" s="8">
        <f t="shared" si="6"/>
        <v>12.596373105057557</v>
      </c>
      <c r="N182" s="1" t="s">
        <v>466</v>
      </c>
      <c r="O182" s="1" t="s">
        <v>470</v>
      </c>
    </row>
    <row r="183" spans="1:15" x14ac:dyDescent="0.3">
      <c r="A183" s="1" t="s">
        <v>472</v>
      </c>
      <c r="B183" s="1" t="s">
        <v>473</v>
      </c>
      <c r="C183" s="1" t="s">
        <v>476</v>
      </c>
      <c r="D183" s="1" t="s">
        <v>209</v>
      </c>
      <c r="E183" s="1" t="s">
        <v>31</v>
      </c>
      <c r="F183" s="1" t="s">
        <v>13</v>
      </c>
      <c r="G183" s="1" t="s">
        <v>249</v>
      </c>
      <c r="I183" s="1">
        <v>5.8</v>
      </c>
      <c r="J183" s="1">
        <v>20</v>
      </c>
      <c r="K183" s="1">
        <v>61.4</v>
      </c>
      <c r="L183" s="9">
        <f t="shared" si="4"/>
        <v>0.61399999999999999</v>
      </c>
      <c r="M183" s="8">
        <f t="shared" si="6"/>
        <v>4.1341269532824505</v>
      </c>
      <c r="O183" s="1" t="s">
        <v>471</v>
      </c>
    </row>
    <row r="184" spans="1:15" x14ac:dyDescent="0.3">
      <c r="A184" s="1" t="s">
        <v>472</v>
      </c>
      <c r="B184" s="1" t="s">
        <v>474</v>
      </c>
      <c r="C184" s="1" t="s">
        <v>475</v>
      </c>
      <c r="D184" s="1" t="s">
        <v>209</v>
      </c>
      <c r="E184" s="1" t="s">
        <v>31</v>
      </c>
      <c r="F184" s="1" t="s">
        <v>13</v>
      </c>
      <c r="G184" s="1" t="s">
        <v>249</v>
      </c>
      <c r="I184" s="1">
        <v>5.8</v>
      </c>
      <c r="J184" s="1">
        <v>20</v>
      </c>
      <c r="K184" s="1">
        <v>77</v>
      </c>
      <c r="L184" s="9">
        <f t="shared" si="4"/>
        <v>0.77</v>
      </c>
      <c r="M184" s="8">
        <f t="shared" si="6"/>
        <v>6.3827216398240711</v>
      </c>
      <c r="O184" s="1" t="s">
        <v>471</v>
      </c>
    </row>
    <row r="185" spans="1:15" x14ac:dyDescent="0.3">
      <c r="A185" s="1" t="s">
        <v>264</v>
      </c>
      <c r="B185" s="1" t="s">
        <v>478</v>
      </c>
      <c r="C185" s="1" t="s">
        <v>160</v>
      </c>
      <c r="D185" s="1" t="s">
        <v>85</v>
      </c>
      <c r="E185" s="1" t="s">
        <v>31</v>
      </c>
      <c r="F185" s="1" t="s">
        <v>182</v>
      </c>
      <c r="K185" s="1">
        <v>78</v>
      </c>
      <c r="L185" s="9">
        <f t="shared" si="4"/>
        <v>0.78</v>
      </c>
      <c r="M185" s="8">
        <f t="shared" si="6"/>
        <v>6.5757731917779383</v>
      </c>
      <c r="O185" s="1" t="s">
        <v>477</v>
      </c>
    </row>
    <row r="186" spans="1:15" x14ac:dyDescent="0.3">
      <c r="A186" s="1" t="s">
        <v>264</v>
      </c>
      <c r="B186" s="1" t="s">
        <v>479</v>
      </c>
      <c r="C186" s="1" t="s">
        <v>158</v>
      </c>
      <c r="D186" s="1" t="s">
        <v>85</v>
      </c>
      <c r="E186" s="1" t="s">
        <v>31</v>
      </c>
      <c r="F186" s="1" t="s">
        <v>182</v>
      </c>
      <c r="K186" s="1">
        <v>92</v>
      </c>
      <c r="L186" s="9">
        <f t="shared" si="4"/>
        <v>0.92</v>
      </c>
      <c r="M186" s="8">
        <f t="shared" si="6"/>
        <v>10.969100130080566</v>
      </c>
      <c r="O186" s="1" t="s">
        <v>477</v>
      </c>
    </row>
    <row r="187" spans="1:15" x14ac:dyDescent="0.3">
      <c r="A187" s="1" t="s">
        <v>264</v>
      </c>
      <c r="B187" s="1" t="s">
        <v>480</v>
      </c>
      <c r="C187" s="1" t="s">
        <v>481</v>
      </c>
      <c r="D187" s="1" t="s">
        <v>85</v>
      </c>
      <c r="E187" s="1" t="s">
        <v>31</v>
      </c>
      <c r="F187" s="1" t="s">
        <v>182</v>
      </c>
      <c r="K187" s="1">
        <v>79</v>
      </c>
      <c r="L187" s="9">
        <f t="shared" si="4"/>
        <v>0.79</v>
      </c>
      <c r="M187" s="8">
        <f t="shared" si="6"/>
        <v>6.7778070526608083</v>
      </c>
      <c r="O187" s="1" t="s">
        <v>477</v>
      </c>
    </row>
    <row r="188" spans="1:15" x14ac:dyDescent="0.3">
      <c r="A188" s="1" t="s">
        <v>1</v>
      </c>
      <c r="B188" s="1" t="s">
        <v>482</v>
      </c>
      <c r="C188" s="1" t="s">
        <v>483</v>
      </c>
      <c r="D188" s="1" t="s">
        <v>109</v>
      </c>
      <c r="E188" s="1" t="s">
        <v>484</v>
      </c>
      <c r="F188" s="1" t="s">
        <v>13</v>
      </c>
      <c r="G188" s="1">
        <v>3.5</v>
      </c>
      <c r="H188" s="1">
        <v>0.5</v>
      </c>
      <c r="I188" s="1" t="s">
        <v>15</v>
      </c>
      <c r="J188" s="1" t="s">
        <v>30</v>
      </c>
      <c r="K188" s="1">
        <v>71.209999999999994</v>
      </c>
      <c r="L188" s="9">
        <f t="shared" si="4"/>
        <v>0.71209999999999996</v>
      </c>
      <c r="M188" s="8">
        <f t="shared" si="6"/>
        <v>5.4075833512191798</v>
      </c>
      <c r="O188" s="1" t="s">
        <v>485</v>
      </c>
    </row>
    <row r="189" spans="1:15" x14ac:dyDescent="0.3">
      <c r="A189" s="1" t="s">
        <v>1</v>
      </c>
      <c r="B189" s="1" t="s">
        <v>486</v>
      </c>
      <c r="C189" s="1" t="s">
        <v>234</v>
      </c>
      <c r="D189" s="1" t="s">
        <v>109</v>
      </c>
      <c r="E189" s="1" t="s">
        <v>31</v>
      </c>
      <c r="F189" s="1" t="s">
        <v>13</v>
      </c>
      <c r="G189" s="1">
        <v>3.5</v>
      </c>
      <c r="H189" s="1">
        <v>1</v>
      </c>
      <c r="I189" s="1" t="s">
        <v>15</v>
      </c>
      <c r="J189" s="1">
        <v>25</v>
      </c>
      <c r="K189" s="1">
        <v>88.9</v>
      </c>
      <c r="L189" s="9">
        <f t="shared" si="4"/>
        <v>0.88900000000000001</v>
      </c>
      <c r="M189" s="8">
        <f t="shared" si="6"/>
        <v>9.5467702121334259</v>
      </c>
      <c r="O189" s="1" t="s">
        <v>487</v>
      </c>
    </row>
    <row r="190" spans="1:15" x14ac:dyDescent="0.3">
      <c r="A190" s="1" t="s">
        <v>1</v>
      </c>
      <c r="B190" s="1" t="s">
        <v>488</v>
      </c>
      <c r="C190" s="1" t="s">
        <v>489</v>
      </c>
      <c r="E190" s="1" t="s">
        <v>31</v>
      </c>
      <c r="F190" s="1" t="s">
        <v>13</v>
      </c>
      <c r="G190" s="1">
        <v>3.5</v>
      </c>
      <c r="H190" s="1">
        <v>0.5</v>
      </c>
      <c r="I190" s="1" t="s">
        <v>15</v>
      </c>
      <c r="J190" s="1" t="s">
        <v>45</v>
      </c>
      <c r="K190" s="1">
        <v>94.4</v>
      </c>
      <c r="L190" s="9">
        <f t="shared" si="4"/>
        <v>0.94400000000000006</v>
      </c>
      <c r="M190" s="8">
        <f t="shared" si="6"/>
        <v>12.518119729938</v>
      </c>
      <c r="O190" s="1" t="s">
        <v>490</v>
      </c>
    </row>
    <row r="191" spans="1:15" x14ac:dyDescent="0.3">
      <c r="A191" s="1" t="s">
        <v>1</v>
      </c>
      <c r="B191" s="1" t="s">
        <v>492</v>
      </c>
      <c r="C191" s="1" t="s">
        <v>491</v>
      </c>
      <c r="D191" s="1" t="s">
        <v>22</v>
      </c>
      <c r="E191" s="1" t="s">
        <v>31</v>
      </c>
      <c r="F191" s="1" t="s">
        <v>13</v>
      </c>
      <c r="G191" s="1">
        <v>3</v>
      </c>
      <c r="I191" s="1" t="s">
        <v>15</v>
      </c>
      <c r="K191" s="1">
        <v>97.7</v>
      </c>
      <c r="L191" s="9">
        <f t="shared" si="4"/>
        <v>0.97699999999999998</v>
      </c>
      <c r="M191" s="8">
        <f t="shared" si="6"/>
        <v>16.382721639824066</v>
      </c>
      <c r="O191" s="1" t="s">
        <v>493</v>
      </c>
    </row>
    <row r="192" spans="1:15" x14ac:dyDescent="0.3">
      <c r="A192" s="1" t="s">
        <v>1</v>
      </c>
      <c r="B192" s="1" t="s">
        <v>143</v>
      </c>
      <c r="C192" s="1" t="s">
        <v>144</v>
      </c>
      <c r="D192" s="1" t="s">
        <v>141</v>
      </c>
      <c r="E192" s="1" t="s">
        <v>31</v>
      </c>
      <c r="F192" s="1" t="s">
        <v>13</v>
      </c>
      <c r="G192" s="1">
        <v>3</v>
      </c>
      <c r="I192" s="1" t="s">
        <v>15</v>
      </c>
      <c r="K192" s="1">
        <v>41.9</v>
      </c>
      <c r="L192" s="9">
        <f t="shared" si="4"/>
        <v>0.41899999999999998</v>
      </c>
      <c r="M192" s="8">
        <f t="shared" si="6"/>
        <v>2.3582386760966929</v>
      </c>
      <c r="O192" s="1" t="s">
        <v>498</v>
      </c>
    </row>
    <row r="193" spans="1:15" x14ac:dyDescent="0.3">
      <c r="A193" s="1" t="s">
        <v>1</v>
      </c>
      <c r="B193" s="1" t="s">
        <v>500</v>
      </c>
      <c r="C193" s="1" t="s">
        <v>499</v>
      </c>
      <c r="E193" s="1" t="s">
        <v>31</v>
      </c>
      <c r="F193" s="1" t="s">
        <v>13</v>
      </c>
      <c r="G193" s="1" t="s">
        <v>249</v>
      </c>
      <c r="I193" s="1">
        <v>5.5</v>
      </c>
      <c r="K193" s="1">
        <v>78.010000000000005</v>
      </c>
      <c r="L193" s="9">
        <f t="shared" si="4"/>
        <v>0.78010000000000002</v>
      </c>
      <c r="M193" s="8">
        <f t="shared" si="6"/>
        <v>6.5777477063920964</v>
      </c>
      <c r="O193" s="1" t="s">
        <v>501</v>
      </c>
    </row>
    <row r="194" spans="1:15" x14ac:dyDescent="0.3">
      <c r="A194" s="1" t="s">
        <v>1</v>
      </c>
      <c r="B194" s="1" t="s">
        <v>502</v>
      </c>
      <c r="C194" s="1" t="s">
        <v>503</v>
      </c>
      <c r="D194" s="1" t="s">
        <v>22</v>
      </c>
      <c r="E194" s="1" t="s">
        <v>504</v>
      </c>
      <c r="F194" s="1" t="s">
        <v>13</v>
      </c>
      <c r="G194" s="1" t="s">
        <v>505</v>
      </c>
      <c r="I194" s="1">
        <v>8.4</v>
      </c>
      <c r="K194" s="1">
        <v>67.94</v>
      </c>
      <c r="L194" s="9">
        <f t="shared" si="4"/>
        <v>0.6794</v>
      </c>
      <c r="M194" s="8">
        <f t="shared" si="6"/>
        <v>4.9403648198187398</v>
      </c>
      <c r="O194" s="1" t="s">
        <v>506</v>
      </c>
    </row>
    <row r="195" spans="1:15" x14ac:dyDescent="0.3">
      <c r="A195" s="1" t="s">
        <v>1</v>
      </c>
      <c r="B195" s="1" t="s">
        <v>508</v>
      </c>
      <c r="C195" s="1" t="s">
        <v>509</v>
      </c>
      <c r="D195" s="1" t="s">
        <v>22</v>
      </c>
      <c r="E195" s="1" t="s">
        <v>31</v>
      </c>
      <c r="F195" s="1" t="s">
        <v>13</v>
      </c>
      <c r="G195" s="1" t="s">
        <v>516</v>
      </c>
      <c r="K195" s="1">
        <v>89</v>
      </c>
      <c r="L195" s="9">
        <f t="shared" ref="L195:L258" si="7">K195/100</f>
        <v>0.89</v>
      </c>
      <c r="M195" s="8">
        <f t="shared" si="6"/>
        <v>9.5860731484177499</v>
      </c>
      <c r="O195" s="1" t="s">
        <v>507</v>
      </c>
    </row>
    <row r="196" spans="1:15" x14ac:dyDescent="0.3">
      <c r="A196" s="1" t="s">
        <v>1</v>
      </c>
      <c r="B196" s="1" t="s">
        <v>510</v>
      </c>
      <c r="C196" s="1" t="s">
        <v>511</v>
      </c>
      <c r="D196" s="1" t="s">
        <v>22</v>
      </c>
      <c r="E196" s="1" t="s">
        <v>31</v>
      </c>
      <c r="F196" s="1" t="s">
        <v>13</v>
      </c>
      <c r="G196" s="1" t="s">
        <v>516</v>
      </c>
      <c r="K196" s="1">
        <v>65</v>
      </c>
      <c r="L196" s="9">
        <f t="shared" si="7"/>
        <v>0.65</v>
      </c>
      <c r="M196" s="8">
        <f t="shared" si="6"/>
        <v>4.5593195564972442</v>
      </c>
      <c r="O196" s="1" t="s">
        <v>507</v>
      </c>
    </row>
    <row r="197" spans="1:15" x14ac:dyDescent="0.3">
      <c r="A197" s="1" t="s">
        <v>1</v>
      </c>
      <c r="B197" s="1" t="s">
        <v>512</v>
      </c>
      <c r="C197" s="1" t="s">
        <v>513</v>
      </c>
      <c r="D197" s="1" t="s">
        <v>22</v>
      </c>
      <c r="E197" s="1" t="s">
        <v>31</v>
      </c>
      <c r="F197" s="1" t="s">
        <v>13</v>
      </c>
      <c r="G197" s="1" t="s">
        <v>516</v>
      </c>
      <c r="K197" s="1">
        <v>73</v>
      </c>
      <c r="L197" s="9">
        <f t="shared" si="7"/>
        <v>0.73</v>
      </c>
      <c r="M197" s="8">
        <f t="shared" si="6"/>
        <v>5.6863623584101264</v>
      </c>
      <c r="O197" s="1" t="s">
        <v>507</v>
      </c>
    </row>
    <row r="198" spans="1:15" x14ac:dyDescent="0.3">
      <c r="A198" s="1" t="s">
        <v>1</v>
      </c>
      <c r="B198" s="1" t="s">
        <v>514</v>
      </c>
      <c r="C198" s="1" t="s">
        <v>515</v>
      </c>
      <c r="D198" s="1" t="s">
        <v>22</v>
      </c>
      <c r="E198" s="1" t="s">
        <v>31</v>
      </c>
      <c r="F198" s="1" t="s">
        <v>13</v>
      </c>
      <c r="G198" s="1" t="s">
        <v>516</v>
      </c>
      <c r="K198" s="1">
        <v>68</v>
      </c>
      <c r="L198" s="9">
        <f t="shared" si="7"/>
        <v>0.68</v>
      </c>
      <c r="M198" s="8">
        <f t="shared" si="6"/>
        <v>4.9485002168009409</v>
      </c>
      <c r="O198" s="1" t="s">
        <v>507</v>
      </c>
    </row>
    <row r="199" spans="1:15" x14ac:dyDescent="0.3">
      <c r="A199" s="1" t="s">
        <v>494</v>
      </c>
      <c r="B199" s="1" t="s">
        <v>517</v>
      </c>
      <c r="C199" s="1" t="s">
        <v>32</v>
      </c>
      <c r="D199" s="1" t="s">
        <v>22</v>
      </c>
      <c r="E199" s="1" t="s">
        <v>23</v>
      </c>
      <c r="F199" s="1" t="s">
        <v>13</v>
      </c>
      <c r="G199" s="1">
        <v>3</v>
      </c>
      <c r="K199" s="1">
        <v>98.38</v>
      </c>
      <c r="L199" s="9">
        <f t="shared" si="7"/>
        <v>0.98380000000000001</v>
      </c>
      <c r="M199" s="8">
        <f t="shared" si="6"/>
        <v>17.90484985457369</v>
      </c>
      <c r="O199" s="1" t="s">
        <v>518</v>
      </c>
    </row>
    <row r="200" spans="1:15" x14ac:dyDescent="0.3">
      <c r="A200" s="1" t="s">
        <v>1</v>
      </c>
      <c r="B200" s="1" t="s">
        <v>519</v>
      </c>
      <c r="C200" s="1" t="s">
        <v>521</v>
      </c>
      <c r="D200" s="1" t="s">
        <v>85</v>
      </c>
      <c r="E200" s="1" t="s">
        <v>31</v>
      </c>
      <c r="F200" s="1" t="s">
        <v>13</v>
      </c>
      <c r="G200" s="1">
        <v>3.5</v>
      </c>
      <c r="I200" s="1">
        <v>7</v>
      </c>
      <c r="K200" s="1">
        <v>94.48</v>
      </c>
      <c r="L200" s="9">
        <f t="shared" si="7"/>
        <v>0.94480000000000008</v>
      </c>
      <c r="M200" s="8">
        <f t="shared" si="6"/>
        <v>12.580609222708016</v>
      </c>
      <c r="O200" s="1" t="s">
        <v>520</v>
      </c>
    </row>
    <row r="201" spans="1:15" x14ac:dyDescent="0.3">
      <c r="A201" s="1" t="s">
        <v>1</v>
      </c>
      <c r="B201" s="1" t="s">
        <v>522</v>
      </c>
      <c r="C201" s="1" t="s">
        <v>523</v>
      </c>
      <c r="E201" s="1" t="s">
        <v>31</v>
      </c>
      <c r="F201" s="1" t="s">
        <v>13</v>
      </c>
      <c r="G201" s="1">
        <v>3.5</v>
      </c>
      <c r="K201" s="1">
        <v>80</v>
      </c>
      <c r="L201" s="9">
        <f t="shared" si="7"/>
        <v>0.8</v>
      </c>
      <c r="M201" s="8">
        <f t="shared" si="6"/>
        <v>6.9897000433601884</v>
      </c>
      <c r="O201" s="1" t="s">
        <v>524</v>
      </c>
    </row>
    <row r="202" spans="1:15" x14ac:dyDescent="0.3">
      <c r="A202" s="1" t="s">
        <v>1</v>
      </c>
      <c r="B202" s="1" t="s">
        <v>525</v>
      </c>
      <c r="C202" s="1" t="s">
        <v>526</v>
      </c>
      <c r="E202" s="1" t="s">
        <v>31</v>
      </c>
      <c r="F202" s="1" t="s">
        <v>13</v>
      </c>
      <c r="G202" s="1">
        <v>3.5</v>
      </c>
      <c r="J202" s="1">
        <v>20</v>
      </c>
      <c r="K202" s="1">
        <v>93.5</v>
      </c>
      <c r="L202" s="9">
        <f t="shared" si="7"/>
        <v>0.93500000000000005</v>
      </c>
      <c r="M202" s="8">
        <f t="shared" si="6"/>
        <v>11.870866433571447</v>
      </c>
      <c r="O202" s="1" t="s">
        <v>527</v>
      </c>
    </row>
    <row r="203" spans="1:15" x14ac:dyDescent="0.3">
      <c r="A203" s="1" t="s">
        <v>1</v>
      </c>
      <c r="B203" s="1" t="s">
        <v>528</v>
      </c>
      <c r="C203" s="1" t="s">
        <v>529</v>
      </c>
      <c r="D203" s="1" t="s">
        <v>58</v>
      </c>
      <c r="E203" s="1" t="s">
        <v>79</v>
      </c>
      <c r="F203" s="1" t="s">
        <v>13</v>
      </c>
      <c r="G203" s="1" t="s">
        <v>247</v>
      </c>
      <c r="K203" s="1">
        <v>99</v>
      </c>
      <c r="L203" s="9">
        <f t="shared" si="7"/>
        <v>0.99</v>
      </c>
      <c r="M203" s="8">
        <f t="shared" si="6"/>
        <v>19.999999999999996</v>
      </c>
      <c r="O203" s="1" t="s">
        <v>530</v>
      </c>
    </row>
    <row r="204" spans="1:15" x14ac:dyDescent="0.3">
      <c r="A204" s="1" t="s">
        <v>1</v>
      </c>
      <c r="B204" s="1" t="s">
        <v>531</v>
      </c>
      <c r="C204" s="1" t="s">
        <v>533</v>
      </c>
      <c r="D204" s="1" t="s">
        <v>141</v>
      </c>
      <c r="F204" s="1" t="s">
        <v>13</v>
      </c>
      <c r="K204" s="1">
        <v>91</v>
      </c>
      <c r="L204" s="9">
        <f t="shared" si="7"/>
        <v>0.91</v>
      </c>
      <c r="M204" s="8">
        <f t="shared" si="6"/>
        <v>10.457574905606752</v>
      </c>
      <c r="O204" s="1" t="s">
        <v>532</v>
      </c>
    </row>
    <row r="205" spans="1:15" x14ac:dyDescent="0.3">
      <c r="A205" s="1" t="s">
        <v>1</v>
      </c>
      <c r="B205" s="1" t="s">
        <v>535</v>
      </c>
      <c r="C205" s="1" t="s">
        <v>536</v>
      </c>
      <c r="D205" s="1" t="s">
        <v>69</v>
      </c>
      <c r="E205" s="1" t="s">
        <v>31</v>
      </c>
      <c r="F205" s="1" t="s">
        <v>13</v>
      </c>
      <c r="G205" s="1" t="s">
        <v>249</v>
      </c>
      <c r="J205" s="1">
        <v>25</v>
      </c>
      <c r="K205" s="1">
        <v>95</v>
      </c>
      <c r="L205" s="9">
        <f t="shared" si="7"/>
        <v>0.95</v>
      </c>
      <c r="M205" s="8">
        <f t="shared" si="6"/>
        <v>13.010299956639809</v>
      </c>
      <c r="O205" s="1" t="s">
        <v>534</v>
      </c>
    </row>
    <row r="206" spans="1:15" x14ac:dyDescent="0.3">
      <c r="A206" s="1" t="s">
        <v>1</v>
      </c>
      <c r="B206" s="1" t="s">
        <v>537</v>
      </c>
      <c r="C206" s="1" t="s">
        <v>538</v>
      </c>
      <c r="D206" s="1" t="s">
        <v>69</v>
      </c>
      <c r="E206" s="1" t="s">
        <v>31</v>
      </c>
      <c r="F206" s="1" t="s">
        <v>13</v>
      </c>
      <c r="G206" s="1" t="s">
        <v>249</v>
      </c>
      <c r="J206" s="1">
        <v>25</v>
      </c>
      <c r="K206" s="1">
        <v>84</v>
      </c>
      <c r="L206" s="9">
        <f t="shared" si="7"/>
        <v>0.84</v>
      </c>
      <c r="M206" s="8">
        <f t="shared" si="6"/>
        <v>7.9588001734407516</v>
      </c>
      <c r="O206" s="1" t="s">
        <v>534</v>
      </c>
    </row>
    <row r="207" spans="1:15" x14ac:dyDescent="0.3">
      <c r="A207" s="1" t="s">
        <v>544</v>
      </c>
      <c r="B207" s="1" t="s">
        <v>541</v>
      </c>
      <c r="C207" s="1" t="s">
        <v>545</v>
      </c>
      <c r="D207" s="1" t="s">
        <v>209</v>
      </c>
      <c r="E207" s="1" t="s">
        <v>542</v>
      </c>
      <c r="F207" s="1" t="s">
        <v>13</v>
      </c>
      <c r="G207" s="1" t="s">
        <v>505</v>
      </c>
      <c r="I207" s="1">
        <v>8.4</v>
      </c>
      <c r="K207" s="1">
        <v>20</v>
      </c>
      <c r="L207" s="9">
        <f t="shared" si="7"/>
        <v>0.2</v>
      </c>
      <c r="M207" s="8">
        <f t="shared" si="6"/>
        <v>0.96910013008056417</v>
      </c>
      <c r="O207" s="1" t="s">
        <v>540</v>
      </c>
    </row>
    <row r="208" spans="1:15" x14ac:dyDescent="0.3">
      <c r="A208" s="1" t="s">
        <v>544</v>
      </c>
      <c r="B208" s="1" t="s">
        <v>541</v>
      </c>
      <c r="C208" s="1" t="s">
        <v>546</v>
      </c>
      <c r="D208" s="1" t="s">
        <v>209</v>
      </c>
      <c r="E208" s="1" t="s">
        <v>31</v>
      </c>
      <c r="F208" s="1" t="s">
        <v>13</v>
      </c>
      <c r="G208" s="1" t="s">
        <v>505</v>
      </c>
      <c r="I208" s="1">
        <v>8.4</v>
      </c>
      <c r="K208" s="1">
        <v>30</v>
      </c>
      <c r="L208" s="9">
        <f t="shared" si="7"/>
        <v>0.3</v>
      </c>
      <c r="M208" s="8">
        <f t="shared" si="6"/>
        <v>1.5490195998574319</v>
      </c>
      <c r="O208" s="1" t="s">
        <v>540</v>
      </c>
    </row>
    <row r="209" spans="1:15" x14ac:dyDescent="0.3">
      <c r="A209" s="1" t="s">
        <v>544</v>
      </c>
      <c r="B209" s="1" t="s">
        <v>541</v>
      </c>
      <c r="C209" s="1" t="s">
        <v>547</v>
      </c>
      <c r="D209" s="1" t="s">
        <v>209</v>
      </c>
      <c r="E209" s="1" t="s">
        <v>31</v>
      </c>
      <c r="F209" s="1" t="s">
        <v>13</v>
      </c>
      <c r="G209" s="1" t="s">
        <v>505</v>
      </c>
      <c r="I209" s="1">
        <v>8.4</v>
      </c>
      <c r="K209" s="1">
        <v>40</v>
      </c>
      <c r="L209" s="9">
        <f t="shared" si="7"/>
        <v>0.4</v>
      </c>
      <c r="M209" s="8">
        <f t="shared" si="6"/>
        <v>2.2184874961635641</v>
      </c>
      <c r="O209" s="1" t="s">
        <v>540</v>
      </c>
    </row>
    <row r="210" spans="1:15" x14ac:dyDescent="0.3">
      <c r="A210" s="1" t="s">
        <v>544</v>
      </c>
      <c r="B210" s="1" t="s">
        <v>541</v>
      </c>
      <c r="C210" s="1" t="s">
        <v>548</v>
      </c>
      <c r="D210" s="1" t="s">
        <v>209</v>
      </c>
      <c r="E210" s="1" t="s">
        <v>31</v>
      </c>
      <c r="F210" s="1" t="s">
        <v>13</v>
      </c>
      <c r="G210" s="1" t="s">
        <v>505</v>
      </c>
      <c r="I210" s="1">
        <v>8.4</v>
      </c>
      <c r="K210" s="1">
        <v>50</v>
      </c>
      <c r="L210" s="9">
        <f t="shared" si="7"/>
        <v>0.5</v>
      </c>
      <c r="M210" s="8">
        <f t="shared" si="6"/>
        <v>3.0102999566398121</v>
      </c>
      <c r="O210" s="1" t="s">
        <v>540</v>
      </c>
    </row>
    <row r="211" spans="1:15" x14ac:dyDescent="0.3">
      <c r="A211" s="1" t="s">
        <v>544</v>
      </c>
      <c r="B211" s="1" t="s">
        <v>541</v>
      </c>
      <c r="C211" s="1" t="s">
        <v>549</v>
      </c>
      <c r="D211" s="1" t="s">
        <v>209</v>
      </c>
      <c r="E211" s="1" t="s">
        <v>31</v>
      </c>
      <c r="F211" s="1" t="s">
        <v>13</v>
      </c>
      <c r="G211" s="1" t="s">
        <v>505</v>
      </c>
      <c r="I211" s="1">
        <v>8.4</v>
      </c>
      <c r="K211" s="1">
        <v>65</v>
      </c>
      <c r="L211" s="9">
        <f t="shared" si="7"/>
        <v>0.65</v>
      </c>
      <c r="M211" s="8">
        <f t="shared" si="6"/>
        <v>4.5593195564972442</v>
      </c>
      <c r="O211" s="1" t="s">
        <v>540</v>
      </c>
    </row>
    <row r="212" spans="1:15" x14ac:dyDescent="0.3">
      <c r="A212" s="1" t="s">
        <v>544</v>
      </c>
      <c r="B212" s="1" t="s">
        <v>541</v>
      </c>
      <c r="C212" s="1" t="s">
        <v>550</v>
      </c>
      <c r="D212" s="1" t="s">
        <v>209</v>
      </c>
      <c r="E212" s="1" t="s">
        <v>31</v>
      </c>
      <c r="F212" s="1" t="s">
        <v>13</v>
      </c>
      <c r="G212" s="1" t="s">
        <v>505</v>
      </c>
      <c r="I212" s="1">
        <v>8.4</v>
      </c>
      <c r="K212" s="1">
        <v>94.5</v>
      </c>
      <c r="L212" s="9">
        <f t="shared" si="7"/>
        <v>0.94499999999999995</v>
      </c>
      <c r="M212" s="8">
        <f t="shared" si="6"/>
        <v>12.596373105057557</v>
      </c>
      <c r="O212" s="1" t="s">
        <v>540</v>
      </c>
    </row>
    <row r="213" spans="1:15" x14ac:dyDescent="0.3">
      <c r="A213" s="1" t="s">
        <v>544</v>
      </c>
      <c r="B213" s="1" t="s">
        <v>541</v>
      </c>
      <c r="C213" s="1" t="s">
        <v>551</v>
      </c>
      <c r="D213" s="1" t="s">
        <v>209</v>
      </c>
      <c r="E213" s="1" t="s">
        <v>31</v>
      </c>
      <c r="F213" s="1" t="s">
        <v>13</v>
      </c>
      <c r="G213" s="1" t="s">
        <v>505</v>
      </c>
      <c r="I213" s="1">
        <v>8.4</v>
      </c>
      <c r="K213" s="1">
        <v>95</v>
      </c>
      <c r="L213" s="9">
        <f t="shared" si="7"/>
        <v>0.95</v>
      </c>
      <c r="M213" s="8">
        <f t="shared" si="6"/>
        <v>13.010299956639809</v>
      </c>
      <c r="O213" s="1" t="s">
        <v>540</v>
      </c>
    </row>
    <row r="214" spans="1:15" x14ac:dyDescent="0.3">
      <c r="A214" s="1" t="s">
        <v>544</v>
      </c>
      <c r="B214" s="1" t="s">
        <v>541</v>
      </c>
      <c r="C214" s="1" t="s">
        <v>552</v>
      </c>
      <c r="D214" s="1" t="s">
        <v>209</v>
      </c>
      <c r="E214" s="1" t="s">
        <v>31</v>
      </c>
      <c r="F214" s="1" t="s">
        <v>13</v>
      </c>
      <c r="G214" s="1" t="s">
        <v>505</v>
      </c>
      <c r="I214" s="1">
        <v>8.4</v>
      </c>
      <c r="K214" s="1">
        <v>95</v>
      </c>
      <c r="L214" s="9">
        <f t="shared" si="7"/>
        <v>0.95</v>
      </c>
      <c r="M214" s="8">
        <f t="shared" si="6"/>
        <v>13.010299956639809</v>
      </c>
      <c r="O214" s="1" t="s">
        <v>540</v>
      </c>
    </row>
    <row r="215" spans="1:15" x14ac:dyDescent="0.3">
      <c r="A215" s="1" t="s">
        <v>544</v>
      </c>
      <c r="B215" s="1" t="s">
        <v>541</v>
      </c>
      <c r="C215" s="1" t="s">
        <v>342</v>
      </c>
      <c r="D215" s="1" t="s">
        <v>209</v>
      </c>
      <c r="E215" s="1" t="s">
        <v>31</v>
      </c>
      <c r="F215" s="1" t="s">
        <v>13</v>
      </c>
      <c r="G215" s="1" t="s">
        <v>505</v>
      </c>
      <c r="I215" s="1">
        <v>8.4</v>
      </c>
      <c r="K215" s="1">
        <v>95</v>
      </c>
      <c r="L215" s="9">
        <f t="shared" si="7"/>
        <v>0.95</v>
      </c>
      <c r="M215" s="8">
        <f t="shared" si="6"/>
        <v>13.010299956639809</v>
      </c>
      <c r="O215" s="1" t="s">
        <v>540</v>
      </c>
    </row>
    <row r="216" spans="1:15" x14ac:dyDescent="0.3">
      <c r="A216" s="1" t="s">
        <v>544</v>
      </c>
      <c r="B216" s="1" t="s">
        <v>541</v>
      </c>
      <c r="C216" s="1" t="s">
        <v>553</v>
      </c>
      <c r="D216" s="1" t="s">
        <v>209</v>
      </c>
      <c r="E216" s="1" t="s">
        <v>31</v>
      </c>
      <c r="F216" s="1" t="s">
        <v>13</v>
      </c>
      <c r="G216" s="1" t="s">
        <v>505</v>
      </c>
      <c r="I216" s="1">
        <v>8.4</v>
      </c>
      <c r="K216" s="1">
        <v>95</v>
      </c>
      <c r="L216" s="9">
        <f t="shared" si="7"/>
        <v>0.95</v>
      </c>
      <c r="M216" s="8">
        <f t="shared" si="6"/>
        <v>13.010299956639809</v>
      </c>
      <c r="O216" s="1" t="s">
        <v>540</v>
      </c>
    </row>
    <row r="217" spans="1:15" x14ac:dyDescent="0.3">
      <c r="A217" s="1" t="s">
        <v>544</v>
      </c>
      <c r="B217" s="1" t="s">
        <v>541</v>
      </c>
      <c r="C217" s="1" t="s">
        <v>554</v>
      </c>
      <c r="D217" s="1" t="s">
        <v>209</v>
      </c>
      <c r="E217" s="1" t="s">
        <v>31</v>
      </c>
      <c r="F217" s="1" t="s">
        <v>13</v>
      </c>
      <c r="G217" s="1" t="s">
        <v>505</v>
      </c>
      <c r="I217" s="1">
        <v>8.4</v>
      </c>
      <c r="K217" s="1">
        <v>70</v>
      </c>
      <c r="L217" s="9">
        <f t="shared" si="7"/>
        <v>0.7</v>
      </c>
      <c r="M217" s="8">
        <f t="shared" si="6"/>
        <v>5.2287874528033749</v>
      </c>
      <c r="O217" s="1" t="s">
        <v>540</v>
      </c>
    </row>
    <row r="218" spans="1:15" x14ac:dyDescent="0.3">
      <c r="A218" s="1" t="s">
        <v>544</v>
      </c>
      <c r="B218" s="1" t="s">
        <v>541</v>
      </c>
      <c r="C218" s="1" t="s">
        <v>555</v>
      </c>
      <c r="D218" s="1" t="s">
        <v>209</v>
      </c>
      <c r="E218" s="1" t="s">
        <v>31</v>
      </c>
      <c r="F218" s="1" t="s">
        <v>13</v>
      </c>
      <c r="G218" s="1" t="s">
        <v>505</v>
      </c>
      <c r="I218" s="1">
        <v>8.4</v>
      </c>
      <c r="K218" s="1">
        <v>50</v>
      </c>
      <c r="L218" s="9">
        <f t="shared" si="7"/>
        <v>0.5</v>
      </c>
      <c r="M218" s="8">
        <f t="shared" si="6"/>
        <v>3.0102999566398121</v>
      </c>
      <c r="O218" s="1" t="s">
        <v>540</v>
      </c>
    </row>
    <row r="219" spans="1:15" x14ac:dyDescent="0.3">
      <c r="A219" s="1" t="s">
        <v>544</v>
      </c>
      <c r="B219" s="1" t="s">
        <v>541</v>
      </c>
      <c r="C219" s="1" t="s">
        <v>556</v>
      </c>
      <c r="D219" s="1" t="s">
        <v>209</v>
      </c>
      <c r="E219" s="1" t="s">
        <v>31</v>
      </c>
      <c r="F219" s="1" t="s">
        <v>13</v>
      </c>
      <c r="G219" s="1" t="s">
        <v>505</v>
      </c>
      <c r="I219" s="1">
        <v>8.4</v>
      </c>
      <c r="K219" s="1">
        <v>30</v>
      </c>
      <c r="L219" s="9">
        <f t="shared" si="7"/>
        <v>0.3</v>
      </c>
      <c r="M219" s="8">
        <f t="shared" si="6"/>
        <v>1.5490195998574319</v>
      </c>
      <c r="O219" s="1" t="s">
        <v>540</v>
      </c>
    </row>
    <row r="220" spans="1:15" x14ac:dyDescent="0.3">
      <c r="A220" s="1" t="s">
        <v>264</v>
      </c>
      <c r="B220" s="1" t="s">
        <v>557</v>
      </c>
      <c r="C220" s="1" t="s">
        <v>558</v>
      </c>
      <c r="D220" s="1" t="s">
        <v>209</v>
      </c>
      <c r="E220" s="1" t="s">
        <v>79</v>
      </c>
      <c r="F220" s="1" t="s">
        <v>13</v>
      </c>
      <c r="G220" s="1" t="s">
        <v>247</v>
      </c>
      <c r="H220" s="1">
        <v>0.5</v>
      </c>
      <c r="I220" s="1">
        <v>6</v>
      </c>
      <c r="J220" s="1">
        <v>30</v>
      </c>
      <c r="K220" s="1">
        <v>42.6</v>
      </c>
      <c r="L220" s="9">
        <f t="shared" si="7"/>
        <v>0.42599999999999999</v>
      </c>
      <c r="M220" s="8">
        <f t="shared" si="6"/>
        <v>2.4108810760202646</v>
      </c>
      <c r="O220" s="1" t="s">
        <v>559</v>
      </c>
    </row>
    <row r="221" spans="1:15" x14ac:dyDescent="0.3">
      <c r="A221" s="1" t="s">
        <v>264</v>
      </c>
      <c r="B221" s="1" t="s">
        <v>560</v>
      </c>
      <c r="C221" s="1" t="s">
        <v>567</v>
      </c>
      <c r="D221" s="1" t="s">
        <v>209</v>
      </c>
      <c r="E221" s="1" t="s">
        <v>79</v>
      </c>
      <c r="F221" s="1" t="s">
        <v>13</v>
      </c>
      <c r="G221" s="1" t="s">
        <v>247</v>
      </c>
      <c r="H221" s="1">
        <v>0.5</v>
      </c>
      <c r="I221" s="1">
        <v>6</v>
      </c>
      <c r="J221" s="1">
        <v>30</v>
      </c>
      <c r="K221" s="1">
        <v>58.3</v>
      </c>
      <c r="L221" s="9">
        <f t="shared" si="7"/>
        <v>0.58299999999999996</v>
      </c>
      <c r="M221" s="8">
        <f t="shared" si="6"/>
        <v>3.7986394502624243</v>
      </c>
      <c r="O221" s="1" t="s">
        <v>559</v>
      </c>
    </row>
    <row r="222" spans="1:15" x14ac:dyDescent="0.3">
      <c r="A222" s="1" t="s">
        <v>264</v>
      </c>
      <c r="B222" s="1" t="s">
        <v>561</v>
      </c>
      <c r="C222" s="1" t="s">
        <v>564</v>
      </c>
      <c r="E222" s="1" t="s">
        <v>79</v>
      </c>
      <c r="F222" s="1" t="s">
        <v>13</v>
      </c>
      <c r="G222" s="1" t="s">
        <v>247</v>
      </c>
      <c r="H222" s="1">
        <v>0.5</v>
      </c>
      <c r="I222" s="1">
        <v>6</v>
      </c>
      <c r="J222" s="1">
        <v>30</v>
      </c>
      <c r="K222" s="1">
        <v>70.8</v>
      </c>
      <c r="L222" s="9">
        <f t="shared" si="7"/>
        <v>0.70799999999999996</v>
      </c>
      <c r="M222" s="8">
        <f t="shared" si="6"/>
        <v>5.346171485515816</v>
      </c>
      <c r="O222" s="1" t="s">
        <v>559</v>
      </c>
    </row>
    <row r="223" spans="1:15" x14ac:dyDescent="0.3">
      <c r="A223" s="1" t="s">
        <v>264</v>
      </c>
      <c r="B223" s="1" t="s">
        <v>562</v>
      </c>
      <c r="C223" s="1" t="s">
        <v>565</v>
      </c>
      <c r="E223" s="1" t="s">
        <v>79</v>
      </c>
      <c r="F223" s="1" t="s">
        <v>13</v>
      </c>
      <c r="G223" s="1" t="s">
        <v>247</v>
      </c>
      <c r="H223" s="1">
        <v>0.5</v>
      </c>
      <c r="I223" s="1">
        <v>6</v>
      </c>
      <c r="J223" s="1">
        <v>30</v>
      </c>
      <c r="K223" s="1">
        <v>84.3</v>
      </c>
      <c r="L223" s="9">
        <f t="shared" si="7"/>
        <v>0.84299999999999997</v>
      </c>
      <c r="M223" s="8">
        <f t="shared" si="6"/>
        <v>8.0410034759076616</v>
      </c>
      <c r="O223" s="1" t="s">
        <v>559</v>
      </c>
    </row>
    <row r="224" spans="1:15" x14ac:dyDescent="0.3">
      <c r="A224" s="1" t="s">
        <v>264</v>
      </c>
      <c r="B224" s="1" t="s">
        <v>563</v>
      </c>
      <c r="C224" s="1" t="s">
        <v>566</v>
      </c>
      <c r="E224" s="1" t="s">
        <v>79</v>
      </c>
      <c r="F224" s="1" t="s">
        <v>13</v>
      </c>
      <c r="G224" s="1" t="s">
        <v>247</v>
      </c>
      <c r="H224" s="1">
        <v>0.5</v>
      </c>
      <c r="I224" s="1">
        <v>6</v>
      </c>
      <c r="J224" s="1">
        <v>30</v>
      </c>
      <c r="K224" s="1">
        <v>89.5</v>
      </c>
      <c r="L224" s="9">
        <f t="shared" si="7"/>
        <v>0.89500000000000002</v>
      </c>
      <c r="M224" s="8">
        <f t="shared" si="6"/>
        <v>9.7881070093006191</v>
      </c>
      <c r="O224" s="1" t="s">
        <v>559</v>
      </c>
    </row>
    <row r="225" spans="1:15" x14ac:dyDescent="0.3">
      <c r="A225" s="1" t="s">
        <v>264</v>
      </c>
      <c r="B225" s="1" t="s">
        <v>263</v>
      </c>
      <c r="C225" s="1" t="s">
        <v>32</v>
      </c>
      <c r="D225" s="1" t="s">
        <v>22</v>
      </c>
      <c r="E225" s="1" t="s">
        <v>31</v>
      </c>
      <c r="F225" s="1" t="s">
        <v>13</v>
      </c>
      <c r="G225" s="1">
        <v>3</v>
      </c>
      <c r="H225" s="1">
        <v>1</v>
      </c>
      <c r="K225" s="1">
        <v>97.3</v>
      </c>
      <c r="L225" s="9">
        <f t="shared" si="7"/>
        <v>0.97299999999999998</v>
      </c>
      <c r="M225" s="8">
        <f t="shared" si="6"/>
        <v>15.686362358410122</v>
      </c>
      <c r="O225" s="1" t="s">
        <v>568</v>
      </c>
    </row>
    <row r="226" spans="1:15" x14ac:dyDescent="0.3">
      <c r="A226" s="1" t="s">
        <v>1</v>
      </c>
      <c r="B226" s="1" t="s">
        <v>570</v>
      </c>
      <c r="C226" s="1" t="s">
        <v>163</v>
      </c>
      <c r="D226" s="1" t="s">
        <v>63</v>
      </c>
      <c r="E226" s="1" t="s">
        <v>150</v>
      </c>
      <c r="F226" s="1" t="s">
        <v>13</v>
      </c>
      <c r="G226" s="1">
        <v>3</v>
      </c>
      <c r="K226" s="1">
        <v>61.31</v>
      </c>
      <c r="L226" s="9">
        <f t="shared" si="7"/>
        <v>0.61309999999999998</v>
      </c>
      <c r="M226" s="8">
        <f t="shared" si="6"/>
        <v>4.1240127027875504</v>
      </c>
      <c r="O226" s="1" t="s">
        <v>569</v>
      </c>
    </row>
    <row r="227" spans="1:15" x14ac:dyDescent="0.3">
      <c r="A227" s="1" t="s">
        <v>1</v>
      </c>
      <c r="B227" t="s">
        <v>571</v>
      </c>
      <c r="C227" s="1" t="s">
        <v>572</v>
      </c>
      <c r="D227" s="1" t="s">
        <v>63</v>
      </c>
      <c r="E227" s="1" t="s">
        <v>37</v>
      </c>
      <c r="F227" s="1" t="s">
        <v>13</v>
      </c>
      <c r="G227" s="1">
        <v>3</v>
      </c>
      <c r="K227" s="1">
        <v>71.239999999999995</v>
      </c>
      <c r="L227" s="9">
        <f t="shared" si="7"/>
        <v>0.71239999999999992</v>
      </c>
      <c r="M227" s="8">
        <f t="shared" si="6"/>
        <v>5.4121111828915494</v>
      </c>
      <c r="O227" s="1" t="s">
        <v>569</v>
      </c>
    </row>
    <row r="228" spans="1:15" x14ac:dyDescent="0.3">
      <c r="A228" s="1" t="s">
        <v>1</v>
      </c>
      <c r="B228" t="s">
        <v>573</v>
      </c>
      <c r="C228" s="1" t="s">
        <v>574</v>
      </c>
      <c r="D228" s="1" t="s">
        <v>63</v>
      </c>
      <c r="E228" s="1" t="s">
        <v>150</v>
      </c>
      <c r="F228" s="1" t="s">
        <v>13</v>
      </c>
      <c r="G228" s="1">
        <v>3</v>
      </c>
      <c r="K228" s="1">
        <v>80.5</v>
      </c>
      <c r="L228" s="9">
        <f t="shared" si="7"/>
        <v>0.80500000000000005</v>
      </c>
      <c r="M228" s="8">
        <f t="shared" si="6"/>
        <v>7.0996538863748215</v>
      </c>
      <c r="O228" s="1" t="s">
        <v>569</v>
      </c>
    </row>
    <row r="229" spans="1:15" x14ac:dyDescent="0.3">
      <c r="A229" s="1" t="s">
        <v>1</v>
      </c>
      <c r="B229" t="s">
        <v>575</v>
      </c>
      <c r="C229" s="1" t="s">
        <v>128</v>
      </c>
      <c r="D229" s="1" t="s">
        <v>63</v>
      </c>
      <c r="E229" s="1" t="s">
        <v>23</v>
      </c>
      <c r="F229" s="1" t="s">
        <v>13</v>
      </c>
      <c r="G229" s="1">
        <v>3</v>
      </c>
      <c r="K229" s="1">
        <v>94.31</v>
      </c>
      <c r="L229" s="9">
        <f t="shared" si="7"/>
        <v>0.94310000000000005</v>
      </c>
      <c r="M229" s="8">
        <f t="shared" si="6"/>
        <v>12.448877336049291</v>
      </c>
      <c r="O229" s="1" t="s">
        <v>569</v>
      </c>
    </row>
    <row r="230" spans="1:15" x14ac:dyDescent="0.3">
      <c r="A230" s="1" t="s">
        <v>1</v>
      </c>
      <c r="B230" t="s">
        <v>576</v>
      </c>
      <c r="C230" s="1" t="s">
        <v>166</v>
      </c>
      <c r="D230" s="1" t="s">
        <v>63</v>
      </c>
      <c r="E230" s="1" t="s">
        <v>165</v>
      </c>
      <c r="F230" s="1" t="s">
        <v>13</v>
      </c>
      <c r="G230" s="1">
        <v>3</v>
      </c>
      <c r="K230" s="1">
        <v>93.03</v>
      </c>
      <c r="L230" s="9">
        <f t="shared" si="7"/>
        <v>0.93030000000000002</v>
      </c>
      <c r="M230" s="8">
        <f t="shared" si="6"/>
        <v>11.567672219019906</v>
      </c>
      <c r="O230" s="1" t="s">
        <v>569</v>
      </c>
    </row>
    <row r="231" spans="1:15" x14ac:dyDescent="0.3">
      <c r="A231" s="1" t="s">
        <v>1</v>
      </c>
      <c r="B231" t="s">
        <v>577</v>
      </c>
      <c r="C231" s="1" t="s">
        <v>578</v>
      </c>
      <c r="D231" s="1" t="s">
        <v>63</v>
      </c>
      <c r="E231" s="1" t="s">
        <v>80</v>
      </c>
      <c r="F231" s="1" t="s">
        <v>13</v>
      </c>
      <c r="G231" s="1">
        <v>3</v>
      </c>
      <c r="K231" s="1">
        <v>83.95</v>
      </c>
      <c r="L231" s="9">
        <f t="shared" si="7"/>
        <v>0.83950000000000002</v>
      </c>
      <c r="M231" s="8">
        <f t="shared" si="6"/>
        <v>7.9452496325910911</v>
      </c>
      <c r="O231" s="1" t="s">
        <v>569</v>
      </c>
    </row>
    <row r="232" spans="1:15" x14ac:dyDescent="0.3">
      <c r="A232" s="1" t="s">
        <v>1</v>
      </c>
      <c r="B232" s="1" t="s">
        <v>579</v>
      </c>
      <c r="C232" s="1" t="s">
        <v>581</v>
      </c>
      <c r="D232" s="1" t="s">
        <v>109</v>
      </c>
      <c r="E232" s="1" t="s">
        <v>31</v>
      </c>
      <c r="F232" s="1" t="s">
        <v>13</v>
      </c>
      <c r="G232" s="1">
        <v>3.5</v>
      </c>
      <c r="H232" s="1">
        <v>12</v>
      </c>
      <c r="K232" s="1">
        <v>90</v>
      </c>
      <c r="L232" s="9">
        <f t="shared" si="7"/>
        <v>0.9</v>
      </c>
      <c r="M232" s="8">
        <f t="shared" si="6"/>
        <v>10</v>
      </c>
      <c r="O232" s="1" t="s">
        <v>580</v>
      </c>
    </row>
    <row r="233" spans="1:15" x14ac:dyDescent="0.3">
      <c r="A233" s="1" t="s">
        <v>1</v>
      </c>
      <c r="B233" s="1" t="s">
        <v>584</v>
      </c>
      <c r="C233" s="1" t="s">
        <v>305</v>
      </c>
      <c r="D233" s="1" t="s">
        <v>307</v>
      </c>
      <c r="E233" s="1" t="s">
        <v>31</v>
      </c>
      <c r="F233" s="1" t="s">
        <v>13</v>
      </c>
      <c r="G233" s="1" t="s">
        <v>249</v>
      </c>
      <c r="H233" s="1">
        <v>1</v>
      </c>
      <c r="J233" s="1" t="s">
        <v>120</v>
      </c>
      <c r="K233" s="1">
        <v>90.9</v>
      </c>
      <c r="L233" s="9">
        <f t="shared" si="7"/>
        <v>0.90900000000000003</v>
      </c>
      <c r="M233" s="8">
        <f t="shared" si="6"/>
        <v>10.409586076789065</v>
      </c>
      <c r="O233" s="1" t="s">
        <v>585</v>
      </c>
    </row>
    <row r="234" spans="1:15" x14ac:dyDescent="0.3">
      <c r="A234" s="1" t="s">
        <v>1</v>
      </c>
      <c r="B234" s="1" t="s">
        <v>588</v>
      </c>
      <c r="C234" s="1" t="s">
        <v>587</v>
      </c>
      <c r="D234" s="1" t="s">
        <v>22</v>
      </c>
      <c r="E234" s="1" t="s">
        <v>31</v>
      </c>
      <c r="F234" s="1" t="s">
        <v>13</v>
      </c>
      <c r="G234" s="1" t="s">
        <v>235</v>
      </c>
      <c r="I234" s="1">
        <v>7.4</v>
      </c>
      <c r="K234" s="1">
        <v>42</v>
      </c>
      <c r="L234" s="9">
        <f t="shared" si="7"/>
        <v>0.42</v>
      </c>
      <c r="M234" s="8">
        <f t="shared" si="6"/>
        <v>2.3657200643706271</v>
      </c>
      <c r="O234" s="1" t="s">
        <v>586</v>
      </c>
    </row>
    <row r="235" spans="1:15" x14ac:dyDescent="0.3">
      <c r="A235" s="1" t="s">
        <v>1</v>
      </c>
      <c r="B235" s="1" t="s">
        <v>589</v>
      </c>
      <c r="C235" s="1" t="s">
        <v>590</v>
      </c>
      <c r="D235" s="1" t="s">
        <v>22</v>
      </c>
      <c r="E235" s="1" t="s">
        <v>31</v>
      </c>
      <c r="F235" s="1" t="s">
        <v>13</v>
      </c>
      <c r="G235" s="1" t="s">
        <v>235</v>
      </c>
      <c r="I235" s="1">
        <v>7.4</v>
      </c>
      <c r="K235" s="1">
        <v>63</v>
      </c>
      <c r="L235" s="9">
        <f t="shared" si="7"/>
        <v>0.63</v>
      </c>
      <c r="M235" s="8">
        <f t="shared" si="6"/>
        <v>4.3179827593300502</v>
      </c>
      <c r="O235" s="1" t="s">
        <v>586</v>
      </c>
    </row>
    <row r="236" spans="1:15" x14ac:dyDescent="0.3">
      <c r="A236" s="1" t="s">
        <v>1</v>
      </c>
      <c r="B236" s="1" t="s">
        <v>591</v>
      </c>
      <c r="C236" s="1" t="s">
        <v>592</v>
      </c>
      <c r="D236" s="1" t="s">
        <v>22</v>
      </c>
      <c r="E236" s="1" t="s">
        <v>31</v>
      </c>
      <c r="F236" s="1" t="s">
        <v>13</v>
      </c>
      <c r="G236" s="1" t="s">
        <v>235</v>
      </c>
      <c r="I236" s="1">
        <v>7.4</v>
      </c>
      <c r="K236" s="1">
        <v>79</v>
      </c>
      <c r="L236" s="9">
        <f t="shared" si="7"/>
        <v>0.79</v>
      </c>
      <c r="M236" s="8">
        <f t="shared" si="6"/>
        <v>6.7778070526608083</v>
      </c>
      <c r="O236" s="1" t="s">
        <v>586</v>
      </c>
    </row>
    <row r="237" spans="1:15" x14ac:dyDescent="0.3">
      <c r="A237" s="1" t="s">
        <v>1</v>
      </c>
      <c r="B237" s="1" t="s">
        <v>593</v>
      </c>
      <c r="C237" s="1" t="s">
        <v>594</v>
      </c>
      <c r="D237" s="1" t="s">
        <v>22</v>
      </c>
      <c r="E237" s="1" t="s">
        <v>31</v>
      </c>
      <c r="F237" s="1" t="s">
        <v>13</v>
      </c>
      <c r="G237" s="1" t="s">
        <v>235</v>
      </c>
      <c r="I237" s="1">
        <v>7.4</v>
      </c>
      <c r="K237" s="1">
        <v>87</v>
      </c>
      <c r="L237" s="9">
        <f t="shared" si="7"/>
        <v>0.87</v>
      </c>
      <c r="M237" s="8">
        <f t="shared" si="6"/>
        <v>8.8605664769316324</v>
      </c>
      <c r="O237" s="1" t="s">
        <v>586</v>
      </c>
    </row>
    <row r="238" spans="1:15" x14ac:dyDescent="0.3">
      <c r="A238" s="1" t="s">
        <v>1</v>
      </c>
      <c r="B238" s="1" t="s">
        <v>595</v>
      </c>
      <c r="C238" s="1" t="s">
        <v>598</v>
      </c>
      <c r="E238" s="1" t="s">
        <v>31</v>
      </c>
      <c r="F238" s="1" t="s">
        <v>13</v>
      </c>
      <c r="G238" s="1" t="s">
        <v>235</v>
      </c>
      <c r="K238" s="1">
        <v>37</v>
      </c>
      <c r="L238" s="9">
        <f t="shared" si="7"/>
        <v>0.37</v>
      </c>
      <c r="M238" s="8">
        <f t="shared" si="6"/>
        <v>2.0065945054641827</v>
      </c>
      <c r="N238" s="1" t="s">
        <v>596</v>
      </c>
      <c r="O238" s="1" t="s">
        <v>597</v>
      </c>
    </row>
    <row r="239" spans="1:15" x14ac:dyDescent="0.3">
      <c r="A239" s="1" t="s">
        <v>1</v>
      </c>
      <c r="B239" s="1" t="s">
        <v>599</v>
      </c>
      <c r="C239" s="1" t="s">
        <v>601</v>
      </c>
      <c r="E239" s="1" t="s">
        <v>31</v>
      </c>
      <c r="F239" s="1" t="s">
        <v>13</v>
      </c>
      <c r="G239" s="1">
        <v>3</v>
      </c>
      <c r="H239" s="1">
        <v>1</v>
      </c>
      <c r="K239" s="1">
        <v>78.430000000000007</v>
      </c>
      <c r="L239" s="9">
        <f t="shared" si="7"/>
        <v>0.78430000000000011</v>
      </c>
      <c r="M239" s="8">
        <f t="shared" si="6"/>
        <v>6.6614985489745528</v>
      </c>
      <c r="O239" s="1" t="s">
        <v>600</v>
      </c>
    </row>
    <row r="240" spans="1:15" x14ac:dyDescent="0.3">
      <c r="A240" s="1" t="s">
        <v>1</v>
      </c>
      <c r="B240" s="1" t="s">
        <v>603</v>
      </c>
      <c r="C240" s="1" t="s">
        <v>602</v>
      </c>
      <c r="E240" s="1" t="s">
        <v>31</v>
      </c>
      <c r="F240" s="1" t="s">
        <v>13</v>
      </c>
      <c r="G240" s="1">
        <v>3</v>
      </c>
      <c r="K240" s="1">
        <v>86.99</v>
      </c>
      <c r="L240" s="9">
        <f t="shared" si="7"/>
        <v>0.8698999999999999</v>
      </c>
      <c r="M240" s="8">
        <f t="shared" si="6"/>
        <v>8.8572270343841346</v>
      </c>
      <c r="O240" s="1" t="s">
        <v>604</v>
      </c>
    </row>
    <row r="241" spans="1:15" x14ac:dyDescent="0.3">
      <c r="A241" s="1" t="s">
        <v>1</v>
      </c>
      <c r="B241" s="1" t="s">
        <v>607</v>
      </c>
      <c r="C241" s="1" t="s">
        <v>606</v>
      </c>
      <c r="D241" s="1" t="s">
        <v>22</v>
      </c>
      <c r="E241" s="1" t="s">
        <v>61</v>
      </c>
      <c r="F241" s="1" t="s">
        <v>13</v>
      </c>
      <c r="G241" s="1">
        <v>3</v>
      </c>
      <c r="H241" s="1">
        <v>1</v>
      </c>
      <c r="K241" s="1">
        <v>82.4</v>
      </c>
      <c r="L241" s="9">
        <f t="shared" si="7"/>
        <v>0.82400000000000007</v>
      </c>
      <c r="M241" s="8">
        <f t="shared" si="6"/>
        <v>7.5448733218585042</v>
      </c>
      <c r="O241" s="1" t="s">
        <v>605</v>
      </c>
    </row>
    <row r="242" spans="1:15" x14ac:dyDescent="0.3">
      <c r="A242" s="1" t="s">
        <v>1</v>
      </c>
      <c r="B242" s="1" t="s">
        <v>608</v>
      </c>
      <c r="C242" s="1" t="s">
        <v>609</v>
      </c>
      <c r="D242" s="1" t="s">
        <v>22</v>
      </c>
      <c r="E242" s="1" t="s">
        <v>31</v>
      </c>
      <c r="F242" s="1" t="s">
        <v>13</v>
      </c>
      <c r="G242" s="1">
        <v>3</v>
      </c>
      <c r="H242" s="1">
        <v>1</v>
      </c>
      <c r="K242" s="1">
        <v>93.1</v>
      </c>
      <c r="L242" s="9">
        <f t="shared" si="7"/>
        <v>0.93099999999999994</v>
      </c>
      <c r="M242" s="8">
        <f t="shared" si="6"/>
        <v>11.611509092627443</v>
      </c>
      <c r="O242" s="1" t="s">
        <v>605</v>
      </c>
    </row>
    <row r="243" spans="1:15" x14ac:dyDescent="0.3">
      <c r="A243" s="1" t="s">
        <v>335</v>
      </c>
      <c r="B243" s="1" t="s">
        <v>610</v>
      </c>
      <c r="C243" s="1" t="s">
        <v>337</v>
      </c>
      <c r="E243" s="1" t="s">
        <v>31</v>
      </c>
      <c r="F243" s="1" t="s">
        <v>13</v>
      </c>
      <c r="G243" s="1">
        <v>3</v>
      </c>
      <c r="K243" s="1">
        <v>86</v>
      </c>
      <c r="L243" s="9">
        <f t="shared" si="7"/>
        <v>0.86</v>
      </c>
      <c r="M243" s="8">
        <f t="shared" si="6"/>
        <v>8.53871964321762</v>
      </c>
      <c r="O243" s="1" t="s">
        <v>611</v>
      </c>
    </row>
    <row r="244" spans="1:15" x14ac:dyDescent="0.3">
      <c r="A244" s="1" t="s">
        <v>264</v>
      </c>
      <c r="B244" t="s">
        <v>615</v>
      </c>
      <c r="C244" s="1" t="s">
        <v>616</v>
      </c>
      <c r="E244" s="1" t="s">
        <v>617</v>
      </c>
      <c r="F244" s="1" t="s">
        <v>13</v>
      </c>
      <c r="G244" s="1">
        <v>3</v>
      </c>
      <c r="K244" s="1">
        <v>86.64</v>
      </c>
      <c r="L244" s="9">
        <f t="shared" si="7"/>
        <v>0.86640000000000006</v>
      </c>
      <c r="M244" s="8">
        <f t="shared" ref="M244:M260" si="8">10*LOG10(1/(1-L244))</f>
        <v>8.7419354186047329</v>
      </c>
      <c r="O244" s="1" t="s">
        <v>612</v>
      </c>
    </row>
    <row r="245" spans="1:15" x14ac:dyDescent="0.3">
      <c r="A245" s="1" t="s">
        <v>264</v>
      </c>
      <c r="B245" s="1" t="s">
        <v>613</v>
      </c>
      <c r="C245" s="1" t="s">
        <v>614</v>
      </c>
      <c r="E245" s="1" t="s">
        <v>31</v>
      </c>
      <c r="F245" s="1" t="s">
        <v>13</v>
      </c>
      <c r="G245" s="1">
        <v>3</v>
      </c>
      <c r="K245" s="1">
        <v>92.22</v>
      </c>
      <c r="L245" s="9">
        <f t="shared" si="7"/>
        <v>0.92220000000000002</v>
      </c>
      <c r="M245" s="8">
        <f t="shared" si="8"/>
        <v>11.090204030103113</v>
      </c>
      <c r="O245" s="1" t="s">
        <v>612</v>
      </c>
    </row>
    <row r="246" spans="1:15" x14ac:dyDescent="0.3">
      <c r="A246" s="1" t="s">
        <v>1</v>
      </c>
      <c r="B246" s="1" t="s">
        <v>619</v>
      </c>
      <c r="C246" s="1" t="s">
        <v>620</v>
      </c>
      <c r="E246" s="1" t="s">
        <v>31</v>
      </c>
      <c r="F246" s="1" t="s">
        <v>13</v>
      </c>
      <c r="G246" s="1">
        <v>3</v>
      </c>
      <c r="K246" s="1">
        <v>99.8</v>
      </c>
      <c r="L246" s="9">
        <f t="shared" si="7"/>
        <v>0.998</v>
      </c>
      <c r="M246" s="8">
        <f t="shared" si="8"/>
        <v>26.989700043360184</v>
      </c>
      <c r="N246" s="1" t="s">
        <v>596</v>
      </c>
      <c r="O246" s="1" t="s">
        <v>618</v>
      </c>
    </row>
    <row r="247" spans="1:15" x14ac:dyDescent="0.3">
      <c r="A247" s="1" t="s">
        <v>1</v>
      </c>
      <c r="B247" s="1" t="s">
        <v>621</v>
      </c>
      <c r="C247" s="1" t="s">
        <v>624</v>
      </c>
      <c r="E247" s="1" t="s">
        <v>31</v>
      </c>
      <c r="F247" s="1" t="s">
        <v>13</v>
      </c>
      <c r="G247" s="1" t="s">
        <v>247</v>
      </c>
      <c r="J247" s="1">
        <v>25</v>
      </c>
      <c r="K247" s="1">
        <v>64.900000000000006</v>
      </c>
      <c r="L247" s="9">
        <f t="shared" si="7"/>
        <v>0.64900000000000002</v>
      </c>
      <c r="M247" s="8">
        <f t="shared" si="8"/>
        <v>4.5469288353417596</v>
      </c>
      <c r="O247" s="1" t="s">
        <v>623</v>
      </c>
    </row>
    <row r="248" spans="1:15" x14ac:dyDescent="0.3">
      <c r="A248" s="1" t="s">
        <v>1</v>
      </c>
      <c r="B248" s="1" t="s">
        <v>622</v>
      </c>
      <c r="C248" s="1" t="s">
        <v>625</v>
      </c>
      <c r="E248" s="1" t="s">
        <v>31</v>
      </c>
      <c r="F248" s="1" t="s">
        <v>13</v>
      </c>
      <c r="G248" s="1" t="s">
        <v>247</v>
      </c>
      <c r="J248" s="1">
        <v>25</v>
      </c>
      <c r="K248" s="1">
        <v>95.8</v>
      </c>
      <c r="L248" s="9">
        <f t="shared" si="7"/>
        <v>0.95799999999999996</v>
      </c>
      <c r="M248" s="8">
        <f t="shared" si="8"/>
        <v>13.767507096020992</v>
      </c>
      <c r="O248" s="1" t="s">
        <v>623</v>
      </c>
    </row>
    <row r="249" spans="1:15" x14ac:dyDescent="0.3">
      <c r="A249" s="1" t="s">
        <v>1</v>
      </c>
      <c r="B249" s="1" t="s">
        <v>626</v>
      </c>
      <c r="C249" s="1" t="s">
        <v>627</v>
      </c>
      <c r="E249" s="1" t="s">
        <v>31</v>
      </c>
      <c r="F249" s="1" t="s">
        <v>13</v>
      </c>
      <c r="G249" s="1">
        <v>3.5</v>
      </c>
      <c r="H249" s="1">
        <v>0.5</v>
      </c>
      <c r="K249" s="1">
        <v>97.47</v>
      </c>
      <c r="L249" s="9">
        <f t="shared" si="7"/>
        <v>0.97470000000000001</v>
      </c>
      <c r="M249" s="8">
        <f t="shared" si="8"/>
        <v>15.968794788241823</v>
      </c>
      <c r="O249" s="1" t="s">
        <v>628</v>
      </c>
    </row>
    <row r="250" spans="1:15" x14ac:dyDescent="0.3">
      <c r="A250" s="1" t="s">
        <v>1</v>
      </c>
      <c r="B250" s="1" t="s">
        <v>629</v>
      </c>
      <c r="C250" s="1" t="s">
        <v>630</v>
      </c>
      <c r="E250" s="1" t="s">
        <v>31</v>
      </c>
      <c r="F250" s="1" t="s">
        <v>13</v>
      </c>
      <c r="G250" s="1">
        <v>3.5</v>
      </c>
      <c r="H250" s="1">
        <v>0.5</v>
      </c>
      <c r="K250" s="1">
        <v>96.65</v>
      </c>
      <c r="L250" s="9">
        <f t="shared" si="7"/>
        <v>0.96650000000000003</v>
      </c>
      <c r="M250" s="8">
        <f t="shared" si="8"/>
        <v>14.749551929631551</v>
      </c>
      <c r="O250" s="1" t="s">
        <v>628</v>
      </c>
    </row>
    <row r="251" spans="1:15" x14ac:dyDescent="0.3">
      <c r="A251" s="1" t="s">
        <v>1</v>
      </c>
      <c r="B251" s="1" t="s">
        <v>631</v>
      </c>
      <c r="C251" s="1" t="s">
        <v>632</v>
      </c>
      <c r="E251" s="1" t="s">
        <v>31</v>
      </c>
      <c r="F251" s="1" t="s">
        <v>13</v>
      </c>
      <c r="G251" s="1">
        <v>3</v>
      </c>
      <c r="J251" s="1">
        <v>25</v>
      </c>
      <c r="K251" s="1">
        <v>71.900000000000006</v>
      </c>
      <c r="L251" s="9">
        <f t="shared" si="7"/>
        <v>0.71900000000000008</v>
      </c>
      <c r="M251" s="8">
        <f t="shared" si="8"/>
        <v>5.5129368009492019</v>
      </c>
      <c r="O251" s="1" t="s">
        <v>633</v>
      </c>
    </row>
    <row r="252" spans="1:15" x14ac:dyDescent="0.3">
      <c r="A252" s="1" t="s">
        <v>264</v>
      </c>
      <c r="B252" s="1" t="s">
        <v>634</v>
      </c>
      <c r="C252" s="1" t="s">
        <v>637</v>
      </c>
      <c r="D252" s="1" t="s">
        <v>22</v>
      </c>
      <c r="E252" s="1" t="s">
        <v>31</v>
      </c>
      <c r="F252" s="1" t="s">
        <v>13</v>
      </c>
      <c r="G252" s="1" t="s">
        <v>543</v>
      </c>
      <c r="H252" s="1">
        <v>0.5</v>
      </c>
      <c r="J252" s="1">
        <v>25</v>
      </c>
      <c r="K252" s="1">
        <v>99.6</v>
      </c>
      <c r="L252" s="9">
        <f t="shared" si="7"/>
        <v>0.996</v>
      </c>
      <c r="M252" s="8">
        <f t="shared" si="8"/>
        <v>23.979400086720371</v>
      </c>
      <c r="O252" s="1" t="s">
        <v>640</v>
      </c>
    </row>
    <row r="253" spans="1:15" x14ac:dyDescent="0.3">
      <c r="A253" s="1" t="s">
        <v>264</v>
      </c>
      <c r="B253" s="1" t="s">
        <v>635</v>
      </c>
      <c r="C253" s="1" t="s">
        <v>638</v>
      </c>
      <c r="D253" s="1" t="s">
        <v>22</v>
      </c>
      <c r="E253" s="1" t="s">
        <v>31</v>
      </c>
      <c r="F253" s="1" t="s">
        <v>13</v>
      </c>
      <c r="G253" s="1" t="s">
        <v>543</v>
      </c>
      <c r="H253" s="1">
        <v>0.5</v>
      </c>
      <c r="J253" s="1">
        <v>25</v>
      </c>
      <c r="K253" s="1">
        <v>99.3</v>
      </c>
      <c r="L253" s="9">
        <f t="shared" si="7"/>
        <v>0.99299999999999999</v>
      </c>
      <c r="M253" s="8">
        <f t="shared" si="8"/>
        <v>21.549019599857427</v>
      </c>
      <c r="O253" s="1" t="s">
        <v>640</v>
      </c>
    </row>
    <row r="254" spans="1:15" x14ac:dyDescent="0.3">
      <c r="A254" s="1" t="s">
        <v>264</v>
      </c>
      <c r="B254" s="1" t="s">
        <v>636</v>
      </c>
      <c r="C254" s="1" t="s">
        <v>639</v>
      </c>
      <c r="D254" s="1" t="s">
        <v>22</v>
      </c>
      <c r="E254" s="1" t="s">
        <v>31</v>
      </c>
      <c r="F254" s="1" t="s">
        <v>13</v>
      </c>
      <c r="G254" s="1" t="s">
        <v>543</v>
      </c>
      <c r="H254" s="1">
        <v>0.5</v>
      </c>
      <c r="J254" s="1">
        <v>25</v>
      </c>
      <c r="K254" s="1">
        <v>99.5</v>
      </c>
      <c r="L254" s="9">
        <f t="shared" si="7"/>
        <v>0.995</v>
      </c>
      <c r="M254" s="8">
        <f t="shared" si="8"/>
        <v>23.010299956639809</v>
      </c>
      <c r="O254" s="1" t="s">
        <v>640</v>
      </c>
    </row>
    <row r="255" spans="1:15" x14ac:dyDescent="0.3">
      <c r="A255" s="1" t="s">
        <v>1</v>
      </c>
      <c r="B255" s="1" t="s">
        <v>642</v>
      </c>
      <c r="C255" s="1" t="s">
        <v>244</v>
      </c>
      <c r="E255" s="1" t="s">
        <v>172</v>
      </c>
      <c r="F255" s="1" t="s">
        <v>13</v>
      </c>
      <c r="G255" s="1">
        <v>3.5</v>
      </c>
      <c r="K255" s="1">
        <v>39.75</v>
      </c>
      <c r="L255" s="9">
        <f t="shared" si="7"/>
        <v>0.39750000000000002</v>
      </c>
      <c r="M255" s="8">
        <f t="shared" si="8"/>
        <v>2.2004294875309398</v>
      </c>
      <c r="O255" s="1" t="s">
        <v>641</v>
      </c>
    </row>
    <row r="256" spans="1:15" x14ac:dyDescent="0.3">
      <c r="A256" s="1" t="s">
        <v>1</v>
      </c>
      <c r="B256" s="1" t="s">
        <v>644</v>
      </c>
      <c r="C256" s="1" t="s">
        <v>643</v>
      </c>
      <c r="E256" s="1" t="s">
        <v>31</v>
      </c>
      <c r="F256" s="1" t="s">
        <v>13</v>
      </c>
      <c r="G256" s="1">
        <v>3.5</v>
      </c>
      <c r="J256" s="1">
        <v>25</v>
      </c>
      <c r="K256" s="1">
        <v>59</v>
      </c>
      <c r="L256" s="9">
        <f t="shared" si="7"/>
        <v>0.59</v>
      </c>
      <c r="M256" s="8">
        <f t="shared" si="8"/>
        <v>3.872161432802645</v>
      </c>
      <c r="O256" s="1" t="s">
        <v>647</v>
      </c>
    </row>
    <row r="257" spans="1:15" x14ac:dyDescent="0.3">
      <c r="A257" s="1" t="s">
        <v>1</v>
      </c>
      <c r="B257" s="1" t="s">
        <v>646</v>
      </c>
      <c r="C257" s="1" t="s">
        <v>645</v>
      </c>
      <c r="E257" s="1" t="s">
        <v>31</v>
      </c>
      <c r="F257" s="1" t="s">
        <v>13</v>
      </c>
      <c r="G257" s="1">
        <v>3.5</v>
      </c>
      <c r="J257" s="1">
        <v>25</v>
      </c>
      <c r="K257" s="1">
        <v>97</v>
      </c>
      <c r="L257" s="9">
        <f t="shared" si="7"/>
        <v>0.97</v>
      </c>
      <c r="M257" s="8">
        <f t="shared" si="8"/>
        <v>15.228787452803372</v>
      </c>
      <c r="O257" s="1" t="s">
        <v>647</v>
      </c>
    </row>
    <row r="258" spans="1:15" x14ac:dyDescent="0.3">
      <c r="A258" s="1" t="s">
        <v>1</v>
      </c>
      <c r="B258" t="s">
        <v>175</v>
      </c>
      <c r="C258" s="1" t="s">
        <v>174</v>
      </c>
      <c r="E258" s="1" t="s">
        <v>31</v>
      </c>
      <c r="F258" s="1" t="s">
        <v>13</v>
      </c>
      <c r="G258" s="1">
        <v>3</v>
      </c>
      <c r="K258" s="1">
        <v>91</v>
      </c>
      <c r="L258" s="9">
        <f t="shared" si="7"/>
        <v>0.91</v>
      </c>
      <c r="M258" s="8">
        <f t="shared" si="8"/>
        <v>10.457574905606752</v>
      </c>
      <c r="O258" s="1" t="s">
        <v>648</v>
      </c>
    </row>
    <row r="259" spans="1:15" x14ac:dyDescent="0.3">
      <c r="A259" s="1" t="s">
        <v>1</v>
      </c>
      <c r="B259" s="1" t="s">
        <v>650</v>
      </c>
      <c r="C259" s="1" t="s">
        <v>649</v>
      </c>
      <c r="E259" s="1" t="s">
        <v>31</v>
      </c>
      <c r="F259" s="1" t="s">
        <v>13</v>
      </c>
      <c r="G259" s="1">
        <v>3</v>
      </c>
      <c r="K259" s="1">
        <v>73</v>
      </c>
      <c r="L259" s="9">
        <f t="shared" ref="L259:L260" si="9">K259/100</f>
        <v>0.73</v>
      </c>
      <c r="M259" s="8">
        <f t="shared" si="8"/>
        <v>5.6863623584101264</v>
      </c>
      <c r="O259" s="1" t="s">
        <v>648</v>
      </c>
    </row>
    <row r="260" spans="1:15" x14ac:dyDescent="0.3">
      <c r="A260" s="1" t="s">
        <v>1</v>
      </c>
      <c r="B260" s="1" t="s">
        <v>651</v>
      </c>
      <c r="C260" s="1" t="s">
        <v>521</v>
      </c>
      <c r="E260" s="1" t="s">
        <v>31</v>
      </c>
      <c r="F260" s="1" t="s">
        <v>13</v>
      </c>
      <c r="G260" s="1" t="s">
        <v>235</v>
      </c>
      <c r="K260" s="1">
        <v>90</v>
      </c>
      <c r="L260" s="9">
        <f t="shared" si="9"/>
        <v>0.9</v>
      </c>
      <c r="M260" s="8">
        <f t="shared" si="8"/>
        <v>10</v>
      </c>
      <c r="O260" s="1" t="s">
        <v>652</v>
      </c>
    </row>
  </sheetData>
  <phoneticPr fontId="2" type="noConversion"/>
  <hyperlinks>
    <hyperlink ref="O62" r:id="rId1" xr:uid="{C365C5A0-4273-4C3B-A36C-398F1F5C48EA}"/>
  </hyperlinks>
  <pageMargins left="0.7" right="0.7" top="0.75" bottom="0.75" header="0.3" footer="0.3"/>
  <headerFooter>
    <oddHeader>&amp;C&amp;"Calibri"&amp;12&amp;KEEDC00 RMIT Classification: Trusted&amp;1#_x000D_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9197d6-2c0b-49a3-bb0d-4efee1731aa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A9CCCD9B1F54BBD2C46B8C0247DE1" ma:contentTypeVersion="14" ma:contentTypeDescription="Create a new document." ma:contentTypeScope="" ma:versionID="a5b415403382292cfb070da53c64c1a1">
  <xsd:schema xmlns:xsd="http://www.w3.org/2001/XMLSchema" xmlns:xs="http://www.w3.org/2001/XMLSchema" xmlns:p="http://schemas.microsoft.com/office/2006/metadata/properties" xmlns:ns3="8c9197d6-2c0b-49a3-bb0d-4efee1731aa6" xmlns:ns4="db1d79f7-50b6-4d8b-a474-cfa267c3978d" targetNamespace="http://schemas.microsoft.com/office/2006/metadata/properties" ma:root="true" ma:fieldsID="0ba12dfa6484c800d51ce3b2c352b1a1" ns3:_="" ns4:_="">
    <xsd:import namespace="8c9197d6-2c0b-49a3-bb0d-4efee1731aa6"/>
    <xsd:import namespace="db1d79f7-50b6-4d8b-a474-cfa267c3978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197d6-2c0b-49a3-bb0d-4efee1731aa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d79f7-50b6-4d8b-a474-cfa267c3978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06534A-AB06-4F78-BAA3-7FB5827927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E51209-0B98-471E-ADB4-461A6A89F9BF}">
  <ds:schemaRefs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db1d79f7-50b6-4d8b-a474-cfa267c3978d"/>
    <ds:schemaRef ds:uri="8c9197d6-2c0b-49a3-bb0d-4efee1731aa6"/>
  </ds:schemaRefs>
</ds:datastoreItem>
</file>

<file path=customXml/itemProps3.xml><?xml version="1.0" encoding="utf-8"?>
<ds:datastoreItem xmlns:ds="http://schemas.openxmlformats.org/officeDocument/2006/customXml" ds:itemID="{E3BBEAE7-3C5D-4042-B653-491FB19758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9197d6-2c0b-49a3-bb0d-4efee1731aa6"/>
    <ds:schemaRef ds:uri="db1d79f7-50b6-4d8b-a474-cfa267c397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Sheet1!btblfn2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Qiushi Deng</dc:creator>
  <cp:lastModifiedBy>Qiushi Deng</cp:lastModifiedBy>
  <dcterms:created xsi:type="dcterms:W3CDTF">2024-08-28T00:34:20Z</dcterms:created>
  <dcterms:modified xsi:type="dcterms:W3CDTF">2024-10-08T04:28:01Z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3d088b-6243-4963-a2e2-8b321ab7f8fc_Enabled">
    <vt:lpwstr>true</vt:lpwstr>
  </property>
  <property fmtid="{D5CDD505-2E9C-101B-9397-08002B2CF9AE}" pid="3" name="MSIP_Label_8c3d088b-6243-4963-a2e2-8b321ab7f8fc_SetDate">
    <vt:lpwstr>2024-08-29T06:26:32Z</vt:lpwstr>
  </property>
  <property fmtid="{D5CDD505-2E9C-101B-9397-08002B2CF9AE}" pid="4" name="MSIP_Label_8c3d088b-6243-4963-a2e2-8b321ab7f8fc_Method">
    <vt:lpwstr>Standard</vt:lpwstr>
  </property>
  <property fmtid="{D5CDD505-2E9C-101B-9397-08002B2CF9AE}" pid="5" name="MSIP_Label_8c3d088b-6243-4963-a2e2-8b321ab7f8fc_Name">
    <vt:lpwstr>Trusted</vt:lpwstr>
  </property>
  <property fmtid="{D5CDD505-2E9C-101B-9397-08002B2CF9AE}" pid="6" name="MSIP_Label_8c3d088b-6243-4963-a2e2-8b321ab7f8fc_SiteId">
    <vt:lpwstr>d1323671-cdbe-4417-b4d4-bdb24b51316b</vt:lpwstr>
  </property>
  <property fmtid="{D5CDD505-2E9C-101B-9397-08002B2CF9AE}" pid="7" name="MSIP_Label_8c3d088b-6243-4963-a2e2-8b321ab7f8fc_ActionId">
    <vt:lpwstr>56d2635a-48ce-488a-b40a-ac4dc296f803</vt:lpwstr>
  </property>
  <property fmtid="{D5CDD505-2E9C-101B-9397-08002B2CF9AE}" pid="8" name="MSIP_Label_8c3d088b-6243-4963-a2e2-8b321ab7f8fc_ContentBits">
    <vt:lpwstr>1</vt:lpwstr>
  </property>
  <property fmtid="{D5CDD505-2E9C-101B-9397-08002B2CF9AE}" pid="9" name="ContentTypeId">
    <vt:lpwstr>0x010100F52A9CCCD9B1F54BBD2C46B8C0247DE1</vt:lpwstr>
  </property>
</Properties>
</file>